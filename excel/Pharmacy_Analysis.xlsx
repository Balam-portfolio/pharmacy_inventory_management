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202300"/>
  <mc:AlternateContent xmlns:mc="http://schemas.openxmlformats.org/markup-compatibility/2006">
    <mc:Choice Requires="x15">
      <x15ac:absPath xmlns:x15ac="http://schemas.microsoft.com/office/spreadsheetml/2010/11/ac" url="C:\Users\NITISHA\Desktop\Project 1\Inventory_management\"/>
    </mc:Choice>
  </mc:AlternateContent>
  <xr:revisionPtr revIDLastSave="0" documentId="13_ncr:1_{950A8E72-F053-4AD1-AABD-EA2FE4F53A75}" xr6:coauthVersionLast="47" xr6:coauthVersionMax="47" xr10:uidLastSave="{00000000-0000-0000-0000-000000000000}"/>
  <bookViews>
    <workbookView xWindow="-108" yWindow="-108" windowWidth="23256" windowHeight="13176" activeTab="5" xr2:uid="{00000000-000D-0000-FFFF-FFFF00000000}"/>
  </bookViews>
  <sheets>
    <sheet name="raw_data" sheetId="1" r:id="rId1"/>
    <sheet name="sales_data" sheetId="7" r:id="rId2"/>
    <sheet name="ABC_Analysis" sheetId="3" r:id="rId3"/>
    <sheet name="EOQ_calculator" sheetId="6" r:id="rId4"/>
    <sheet name="KPI_Summary" sheetId="2" r:id="rId5"/>
    <sheet name="pivot_tables" sheetId="9" r:id="rId6"/>
  </sheets>
  <definedNames>
    <definedName name="ExternalData_1" localSheetId="1" hidden="1">sales_data!$A$3:$I$503</definedName>
    <definedName name="Slicer_category">#N/A</definedName>
    <definedName name="Slicer_stock_status">#N/A</definedName>
    <definedName name="Slicer_supplier_name">#N/A</definedName>
    <definedName name="Slicer_warehouse_section">#N/A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B12" i="2"/>
  <c r="C6"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9"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9" i="6"/>
  <c r="D10" i="6"/>
  <c r="G10" i="6" s="1"/>
  <c r="D11" i="6"/>
  <c r="G11" i="6" s="1"/>
  <c r="D12" i="6"/>
  <c r="G12" i="6" s="1"/>
  <c r="D13" i="6"/>
  <c r="G13" i="6" s="1"/>
  <c r="D14" i="6"/>
  <c r="G14" i="6" s="1"/>
  <c r="D15" i="6"/>
  <c r="G15" i="6" s="1"/>
  <c r="D16" i="6"/>
  <c r="G16" i="6" s="1"/>
  <c r="D17" i="6"/>
  <c r="G17" i="6" s="1"/>
  <c r="D18" i="6"/>
  <c r="G18" i="6" s="1"/>
  <c r="H18" i="6" s="1"/>
  <c r="D19" i="6"/>
  <c r="G19" i="6" s="1"/>
  <c r="D20" i="6"/>
  <c r="G20" i="6" s="1"/>
  <c r="D21" i="6"/>
  <c r="G21" i="6" s="1"/>
  <c r="D22" i="6"/>
  <c r="G22" i="6" s="1"/>
  <c r="D23" i="6"/>
  <c r="G23" i="6" s="1"/>
  <c r="D24" i="6"/>
  <c r="G24" i="6" s="1"/>
  <c r="D25" i="6"/>
  <c r="G25" i="6" s="1"/>
  <c r="D26" i="6"/>
  <c r="G26" i="6" s="1"/>
  <c r="D27" i="6"/>
  <c r="G27" i="6" s="1"/>
  <c r="D28" i="6"/>
  <c r="G28" i="6" s="1"/>
  <c r="D29" i="6"/>
  <c r="G29" i="6" s="1"/>
  <c r="D30" i="6"/>
  <c r="G30" i="6" s="1"/>
  <c r="D31" i="6"/>
  <c r="G31" i="6" s="1"/>
  <c r="D32" i="6"/>
  <c r="G32" i="6" s="1"/>
  <c r="D33" i="6"/>
  <c r="G33" i="6" s="1"/>
  <c r="D34" i="6"/>
  <c r="G34" i="6" s="1"/>
  <c r="H34" i="6" s="1"/>
  <c r="D35" i="6"/>
  <c r="G35" i="6" s="1"/>
  <c r="D36" i="6"/>
  <c r="G36" i="6" s="1"/>
  <c r="D37" i="6"/>
  <c r="G37" i="6" s="1"/>
  <c r="D38" i="6"/>
  <c r="G38" i="6" s="1"/>
  <c r="D39" i="6"/>
  <c r="G39" i="6" s="1"/>
  <c r="D40" i="6"/>
  <c r="G40" i="6" s="1"/>
  <c r="D41" i="6"/>
  <c r="G41" i="6" s="1"/>
  <c r="D42" i="6"/>
  <c r="G42" i="6" s="1"/>
  <c r="D43" i="6"/>
  <c r="G43" i="6" s="1"/>
  <c r="D44" i="6"/>
  <c r="G44" i="6" s="1"/>
  <c r="D45" i="6"/>
  <c r="G45" i="6" s="1"/>
  <c r="D46" i="6"/>
  <c r="G46" i="6" s="1"/>
  <c r="D47" i="6"/>
  <c r="G47" i="6" s="1"/>
  <c r="D48" i="6"/>
  <c r="G48" i="6" s="1"/>
  <c r="D49" i="6"/>
  <c r="G49" i="6" s="1"/>
  <c r="D50" i="6"/>
  <c r="G50" i="6" s="1"/>
  <c r="D51" i="6"/>
  <c r="G51" i="6" s="1"/>
  <c r="D52" i="6"/>
  <c r="G52" i="6" s="1"/>
  <c r="D53" i="6"/>
  <c r="G53" i="6" s="1"/>
  <c r="D54" i="6"/>
  <c r="G54" i="6" s="1"/>
  <c r="D55" i="6"/>
  <c r="G55" i="6" s="1"/>
  <c r="D56" i="6"/>
  <c r="G56" i="6" s="1"/>
  <c r="D57" i="6"/>
  <c r="G57" i="6" s="1"/>
  <c r="D58" i="6"/>
  <c r="G58" i="6" s="1"/>
  <c r="D9" i="6"/>
  <c r="G9" i="6" s="1"/>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9"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4" i="2"/>
  <c r="D15" i="3"/>
  <c r="D44" i="3"/>
  <c r="D38" i="3"/>
  <c r="D31" i="3"/>
  <c r="D20" i="3"/>
  <c r="D39" i="3"/>
  <c r="D49" i="3"/>
  <c r="D29" i="3"/>
  <c r="D33" i="3"/>
  <c r="D54" i="3"/>
  <c r="D35" i="3"/>
  <c r="D40" i="3"/>
  <c r="D16" i="3"/>
  <c r="D46" i="3"/>
  <c r="D17" i="3"/>
  <c r="D48" i="3"/>
  <c r="D9" i="3"/>
  <c r="D14" i="3"/>
  <c r="D19" i="3"/>
  <c r="D10" i="3"/>
  <c r="D37" i="3"/>
  <c r="D22" i="3"/>
  <c r="D30" i="3"/>
  <c r="D18" i="3"/>
  <c r="D7" i="3"/>
  <c r="D12" i="3"/>
  <c r="D28" i="3"/>
  <c r="D52" i="3"/>
  <c r="D47" i="3"/>
  <c r="D11" i="3"/>
  <c r="D45" i="3"/>
  <c r="D42" i="3"/>
  <c r="D6" i="3"/>
  <c r="D23" i="3"/>
  <c r="D27" i="3"/>
  <c r="D51" i="3"/>
  <c r="D50" i="3"/>
  <c r="D26" i="3"/>
  <c r="D34" i="3"/>
  <c r="D21" i="3"/>
  <c r="D43" i="3"/>
  <c r="D13" i="3"/>
  <c r="D8" i="3"/>
  <c r="D32" i="3"/>
  <c r="D55" i="3"/>
  <c r="D24" i="3"/>
  <c r="D41" i="3"/>
  <c r="D25" i="3"/>
  <c r="D36" i="3"/>
  <c r="D53" i="3"/>
  <c r="C15" i="3"/>
  <c r="C44" i="3"/>
  <c r="C38" i="3"/>
  <c r="C31" i="3"/>
  <c r="C20" i="3"/>
  <c r="C39" i="3"/>
  <c r="C49" i="3"/>
  <c r="C29" i="3"/>
  <c r="C33" i="3"/>
  <c r="C54" i="3"/>
  <c r="C35" i="3"/>
  <c r="C40" i="3"/>
  <c r="C16" i="3"/>
  <c r="C46" i="3"/>
  <c r="C17" i="3"/>
  <c r="C48" i="3"/>
  <c r="C9" i="3"/>
  <c r="C14" i="3"/>
  <c r="C19" i="3"/>
  <c r="C10" i="3"/>
  <c r="C37" i="3"/>
  <c r="C22" i="3"/>
  <c r="C30" i="3"/>
  <c r="C18" i="3"/>
  <c r="C7" i="3"/>
  <c r="C12" i="3"/>
  <c r="C28" i="3"/>
  <c r="C52" i="3"/>
  <c r="C47" i="3"/>
  <c r="C11" i="3"/>
  <c r="C45" i="3"/>
  <c r="C42" i="3"/>
  <c r="C6" i="3"/>
  <c r="C23" i="3"/>
  <c r="C27" i="3"/>
  <c r="C51" i="3"/>
  <c r="C50" i="3"/>
  <c r="C26" i="3"/>
  <c r="C34" i="3"/>
  <c r="C21" i="3"/>
  <c r="C43" i="3"/>
  <c r="C13" i="3"/>
  <c r="C8" i="3"/>
  <c r="C32" i="3"/>
  <c r="C55" i="3"/>
  <c r="C24" i="3"/>
  <c r="C41" i="3"/>
  <c r="C25" i="3"/>
  <c r="C36" i="3"/>
  <c r="C53" i="3"/>
  <c r="B53" i="3"/>
  <c r="B15" i="3"/>
  <c r="B44" i="3"/>
  <c r="B38" i="3"/>
  <c r="B31" i="3"/>
  <c r="B20" i="3"/>
  <c r="B39" i="3"/>
  <c r="B49" i="3"/>
  <c r="B29" i="3"/>
  <c r="B33" i="3"/>
  <c r="B54" i="3"/>
  <c r="B35" i="3"/>
  <c r="B40" i="3"/>
  <c r="B16" i="3"/>
  <c r="B46" i="3"/>
  <c r="B17" i="3"/>
  <c r="B48" i="3"/>
  <c r="B9" i="3"/>
  <c r="B14" i="3"/>
  <c r="B19" i="3"/>
  <c r="B10" i="3"/>
  <c r="B37" i="3"/>
  <c r="B22" i="3"/>
  <c r="B30" i="3"/>
  <c r="B18" i="3"/>
  <c r="B7" i="3"/>
  <c r="B12" i="3"/>
  <c r="B28" i="3"/>
  <c r="B52" i="3"/>
  <c r="B47" i="3"/>
  <c r="B11" i="3"/>
  <c r="B45" i="3"/>
  <c r="B42" i="3"/>
  <c r="B6" i="3"/>
  <c r="B23" i="3"/>
  <c r="B27" i="3"/>
  <c r="B51" i="3"/>
  <c r="B50" i="3"/>
  <c r="B26" i="3"/>
  <c r="B34" i="3"/>
  <c r="B21" i="3"/>
  <c r="B43" i="3"/>
  <c r="B13" i="3"/>
  <c r="B8" i="3"/>
  <c r="B32" i="3"/>
  <c r="B55" i="3"/>
  <c r="B24" i="3"/>
  <c r="B41" i="3"/>
  <c r="B25" i="3"/>
  <c r="B36" i="3"/>
  <c r="B16" i="2"/>
  <c r="B14" i="2" a="1"/>
  <c r="B14" i="2" s="1"/>
  <c r="B8" i="2" a="1"/>
  <c r="B8" i="2" s="1"/>
  <c r="B6" i="2"/>
  <c r="B2" i="2" a="1"/>
  <c r="B2" i="2" s="1"/>
  <c r="H32" i="6" l="1"/>
  <c r="K32" i="6" s="1"/>
  <c r="H48" i="6"/>
  <c r="K48" i="6" s="1"/>
  <c r="H50" i="6"/>
  <c r="H31" i="6"/>
  <c r="K31" i="6" s="1"/>
  <c r="H15" i="6"/>
  <c r="K15" i="6" s="1"/>
  <c r="H43" i="6"/>
  <c r="K43" i="6" s="1"/>
  <c r="H27" i="6"/>
  <c r="K27" i="6" s="1"/>
  <c r="H11" i="6"/>
  <c r="K11" i="6" s="1"/>
  <c r="H14" i="6"/>
  <c r="K14" i="6" s="1"/>
  <c r="H9" i="6"/>
  <c r="K9" i="6" s="1"/>
  <c r="H44" i="6"/>
  <c r="K44" i="6" s="1"/>
  <c r="H46" i="6"/>
  <c r="K46" i="6" s="1"/>
  <c r="H30" i="6"/>
  <c r="K30" i="6" s="1"/>
  <c r="K50" i="6"/>
  <c r="K34" i="6"/>
  <c r="K18" i="6"/>
  <c r="H49" i="6"/>
  <c r="K49" i="6" s="1"/>
  <c r="H33" i="6"/>
  <c r="K33" i="6" s="1"/>
  <c r="H17" i="6"/>
  <c r="K17" i="6" s="1"/>
  <c r="H55" i="6"/>
  <c r="K55" i="6" s="1"/>
  <c r="H47" i="6"/>
  <c r="K47" i="6" s="1"/>
  <c r="H28" i="6"/>
  <c r="K28" i="6" s="1"/>
  <c r="H16" i="6"/>
  <c r="K16" i="6" s="1"/>
  <c r="H39" i="6"/>
  <c r="K39" i="6" s="1"/>
  <c r="H12" i="6"/>
  <c r="K12" i="6" s="1"/>
  <c r="H23" i="6"/>
  <c r="K23" i="6" s="1"/>
  <c r="H29" i="6"/>
  <c r="K29" i="6" s="1"/>
  <c r="H26" i="6"/>
  <c r="K26" i="6" s="1"/>
  <c r="H38" i="6"/>
  <c r="K38" i="6" s="1"/>
  <c r="H53" i="6"/>
  <c r="K53" i="6" s="1"/>
  <c r="H37" i="6"/>
  <c r="K37" i="6" s="1"/>
  <c r="H21" i="6"/>
  <c r="K21" i="6" s="1"/>
  <c r="H56" i="6"/>
  <c r="K56" i="6" s="1"/>
  <c r="H41" i="6"/>
  <c r="K41" i="6" s="1"/>
  <c r="H54" i="6"/>
  <c r="K54" i="6" s="1"/>
  <c r="H52" i="6"/>
  <c r="K52" i="6" s="1"/>
  <c r="H36" i="6"/>
  <c r="K36" i="6" s="1"/>
  <c r="H20" i="6"/>
  <c r="K20" i="6" s="1"/>
  <c r="H10" i="6"/>
  <c r="K10" i="6" s="1"/>
  <c r="H51" i="6"/>
  <c r="K51" i="6" s="1"/>
  <c r="H35" i="6"/>
  <c r="K35" i="6" s="1"/>
  <c r="H19" i="6"/>
  <c r="K19" i="6" s="1"/>
  <c r="H13" i="6"/>
  <c r="K13" i="6" s="1"/>
  <c r="H40" i="6"/>
  <c r="K40" i="6" s="1"/>
  <c r="H25" i="6"/>
  <c r="K25" i="6" s="1"/>
  <c r="H42" i="6"/>
  <c r="K42" i="6" s="1"/>
  <c r="H45" i="6"/>
  <c r="K45" i="6" s="1"/>
  <c r="H58" i="6"/>
  <c r="K58" i="6" s="1"/>
  <c r="H24" i="6"/>
  <c r="K24" i="6" s="1"/>
  <c r="H57" i="6"/>
  <c r="K57" i="6" s="1"/>
  <c r="H22" i="6"/>
  <c r="K22" i="6" s="1"/>
  <c r="E34" i="3"/>
  <c r="G32" i="3"/>
  <c r="E51" i="3"/>
  <c r="E19" i="3"/>
  <c r="E14" i="3"/>
  <c r="E36" i="3"/>
  <c r="G17" i="3"/>
  <c r="E15" i="3"/>
  <c r="E16" i="3"/>
  <c r="E32" i="3"/>
  <c r="E29" i="3"/>
  <c r="E50" i="3"/>
  <c r="G29" i="3"/>
  <c r="E23" i="3"/>
  <c r="E48" i="3"/>
  <c r="F14" i="3"/>
  <c r="E46" i="3"/>
  <c r="E47" i="3"/>
  <c r="E13" i="3"/>
  <c r="E18" i="3"/>
  <c r="E30" i="3"/>
  <c r="E37" i="3"/>
  <c r="E31" i="3"/>
  <c r="E38" i="3"/>
  <c r="E53" i="3"/>
  <c r="E45" i="3"/>
  <c r="E17" i="3"/>
  <c r="G16" i="3"/>
  <c r="E11" i="3"/>
  <c r="F29" i="3"/>
  <c r="G31" i="3"/>
  <c r="E9" i="3"/>
  <c r="E8" i="3"/>
  <c r="F10" i="3"/>
  <c r="G28" i="3"/>
  <c r="E39" i="3"/>
  <c r="F25" i="3"/>
  <c r="G43" i="3"/>
  <c r="E54" i="3"/>
  <c r="E6" i="3"/>
  <c r="F8" i="3"/>
  <c r="G10" i="3"/>
  <c r="G41" i="3"/>
  <c r="F54" i="3"/>
  <c r="F22" i="3"/>
  <c r="H22" i="3" s="1"/>
  <c r="I22" i="3" s="1"/>
  <c r="G8" i="3"/>
  <c r="E35" i="3"/>
  <c r="F53" i="3"/>
  <c r="F37" i="3"/>
  <c r="F21" i="3"/>
  <c r="G55" i="3"/>
  <c r="G39" i="3"/>
  <c r="G23" i="3"/>
  <c r="G7" i="3"/>
  <c r="F52" i="3"/>
  <c r="F36" i="3"/>
  <c r="F20" i="3"/>
  <c r="G54" i="3"/>
  <c r="G38" i="3"/>
  <c r="G22" i="3"/>
  <c r="G6" i="3"/>
  <c r="E28" i="3"/>
  <c r="F46" i="3"/>
  <c r="G48" i="3"/>
  <c r="E27" i="3"/>
  <c r="F45" i="3"/>
  <c r="F13" i="3"/>
  <c r="G15" i="3"/>
  <c r="E26" i="3"/>
  <c r="G46" i="3"/>
  <c r="E25" i="3"/>
  <c r="F11" i="3"/>
  <c r="G13" i="3"/>
  <c r="E40" i="3"/>
  <c r="E7" i="3"/>
  <c r="G27" i="3"/>
  <c r="E22" i="3"/>
  <c r="F24" i="3"/>
  <c r="F55" i="3"/>
  <c r="E52" i="3"/>
  <c r="E20" i="3"/>
  <c r="F6" i="3"/>
  <c r="E49" i="3"/>
  <c r="F51" i="3"/>
  <c r="G53" i="3"/>
  <c r="G37" i="3"/>
  <c r="F50" i="3"/>
  <c r="F34" i="3"/>
  <c r="F18" i="3"/>
  <c r="G52" i="3"/>
  <c r="G36" i="3"/>
  <c r="G20" i="3"/>
  <c r="G47" i="3"/>
  <c r="F42" i="3"/>
  <c r="G42" i="3"/>
  <c r="F49" i="3"/>
  <c r="F33" i="3"/>
  <c r="F17" i="3"/>
  <c r="G51" i="3"/>
  <c r="G35" i="3"/>
  <c r="G19" i="3"/>
  <c r="E44" i="3"/>
  <c r="F30" i="3"/>
  <c r="E43" i="3"/>
  <c r="E10" i="3"/>
  <c r="F28" i="3"/>
  <c r="H28" i="3" s="1"/>
  <c r="I28" i="3" s="1"/>
  <c r="G30" i="3"/>
  <c r="F43" i="3"/>
  <c r="G45" i="3"/>
  <c r="E24" i="3"/>
  <c r="F26" i="3"/>
  <c r="G44" i="3"/>
  <c r="G12" i="3"/>
  <c r="E55" i="3"/>
  <c r="F41" i="3"/>
  <c r="F39" i="3"/>
  <c r="H39" i="3" s="1"/>
  <c r="I39" i="3" s="1"/>
  <c r="F7" i="3"/>
  <c r="G9" i="3"/>
  <c r="F38" i="3"/>
  <c r="G24" i="3"/>
  <c r="F19" i="3"/>
  <c r="H19" i="3" s="1"/>
  <c r="I19" i="3" s="1"/>
  <c r="F48" i="3"/>
  <c r="F32" i="3"/>
  <c r="H32" i="3" s="1"/>
  <c r="I32" i="3" s="1"/>
  <c r="F16" i="3"/>
  <c r="H16" i="3" s="1"/>
  <c r="I16" i="3" s="1"/>
  <c r="G50" i="3"/>
  <c r="G34" i="3"/>
  <c r="G18" i="3"/>
  <c r="E12" i="3"/>
  <c r="E42" i="3"/>
  <c r="F44" i="3"/>
  <c r="F12" i="3"/>
  <c r="G14" i="3"/>
  <c r="E41" i="3"/>
  <c r="F27" i="3"/>
  <c r="F9" i="3"/>
  <c r="G11" i="3"/>
  <c r="F40" i="3"/>
  <c r="G26" i="3"/>
  <c r="E21" i="3"/>
  <c r="F23" i="3"/>
  <c r="G25" i="3"/>
  <c r="G40" i="3"/>
  <c r="E33" i="3"/>
  <c r="F35" i="3"/>
  <c r="G21" i="3"/>
  <c r="F47" i="3"/>
  <c r="F31" i="3"/>
  <c r="F15" i="3"/>
  <c r="H15" i="3" s="1"/>
  <c r="I15" i="3" s="1"/>
  <c r="G49" i="3"/>
  <c r="G33" i="3"/>
  <c r="H9" i="3" l="1"/>
  <c r="I9" i="3" s="1"/>
  <c r="H29" i="3"/>
  <c r="I29" i="3" s="1"/>
  <c r="H51" i="3"/>
  <c r="I51" i="3" s="1"/>
  <c r="H12" i="3"/>
  <c r="I12" i="3" s="1"/>
  <c r="H34" i="3"/>
  <c r="I34" i="3" s="1"/>
  <c r="H30" i="3"/>
  <c r="I30" i="3" s="1"/>
  <c r="H25" i="3"/>
  <c r="I25" i="3" s="1"/>
  <c r="H41" i="3"/>
  <c r="I41" i="3" s="1"/>
  <c r="H40" i="3"/>
  <c r="I40" i="3" s="1"/>
  <c r="H8" i="3"/>
  <c r="I8" i="3" s="1"/>
  <c r="H36" i="3"/>
  <c r="I36" i="3" s="1"/>
  <c r="H50" i="3"/>
  <c r="I50" i="3" s="1"/>
  <c r="H31" i="3"/>
  <c r="I31" i="3" s="1"/>
  <c r="H47" i="3"/>
  <c r="I47" i="3" s="1"/>
  <c r="H44" i="3"/>
  <c r="I44" i="3" s="1"/>
  <c r="H17" i="3"/>
  <c r="I17" i="3" s="1"/>
  <c r="H6" i="3"/>
  <c r="I6" i="3" s="1"/>
  <c r="H45" i="3"/>
  <c r="I45" i="3" s="1"/>
  <c r="H21" i="3"/>
  <c r="I21" i="3" s="1"/>
  <c r="H48" i="3"/>
  <c r="I48" i="3" s="1"/>
  <c r="H18" i="3"/>
  <c r="I18" i="3" s="1"/>
  <c r="H20" i="3"/>
  <c r="I20" i="3" s="1"/>
  <c r="H38" i="3"/>
  <c r="I38" i="3" s="1"/>
  <c r="H27" i="3"/>
  <c r="I27" i="3" s="1"/>
  <c r="H14" i="3"/>
  <c r="I14" i="3" s="1"/>
  <c r="H11" i="3"/>
  <c r="I11" i="3" s="1"/>
  <c r="H10" i="3"/>
  <c r="I10" i="3" s="1"/>
  <c r="H26" i="3"/>
  <c r="I26" i="3" s="1"/>
  <c r="H7" i="3"/>
  <c r="I7" i="3" s="1"/>
  <c r="H37" i="3"/>
  <c r="I37" i="3" s="1"/>
  <c r="H46" i="3"/>
  <c r="I46" i="3" s="1"/>
  <c r="H42" i="3"/>
  <c r="I42" i="3" s="1"/>
  <c r="H24" i="3"/>
  <c r="I24" i="3" s="1"/>
  <c r="H53" i="3"/>
  <c r="I53" i="3" s="1"/>
  <c r="H13" i="3"/>
  <c r="I13" i="3" s="1"/>
  <c r="H35" i="3"/>
  <c r="I35" i="3" s="1"/>
  <c r="H49" i="3"/>
  <c r="I49" i="3" s="1"/>
  <c r="H43" i="3"/>
  <c r="I43" i="3" s="1"/>
  <c r="H54" i="3"/>
  <c r="I54" i="3" s="1"/>
  <c r="H52" i="3"/>
  <c r="I52" i="3" s="1"/>
  <c r="H33" i="3"/>
  <c r="I33" i="3" s="1"/>
  <c r="H55" i="3"/>
  <c r="I55" i="3" s="1"/>
  <c r="H23" i="3"/>
  <c r="I23" i="3" s="1"/>
  <c r="K8" i="3" l="1"/>
  <c r="K7" i="3"/>
  <c r="K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68A9AA-8127-4047-A76C-826E34093965}" keepAlive="1" name="Query - sales" description="Connection to the 'sales' query in the workbook." type="5" refreshedVersion="0" background="1">
    <dbPr connection="Provider=Microsoft.Mashup.OleDb.1;Data Source=$Workbook$;Location=sales;Extended Properties=&quot;&quot;" command="SELECT * FROM [sales]"/>
  </connection>
  <connection id="2" xr16:uid="{12A75EFB-1B7E-4B45-84B1-A2DE6D6D85F9}"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<sst xmlns="http://schemas.openxmlformats.org/spreadsheetml/2006/main" count="3191" uniqueCount="754">
  <si>
    <t>medicine_id</t>
  </si>
  <si>
    <t>medicine_name</t>
  </si>
  <si>
    <t>generic_name</t>
  </si>
  <si>
    <t>category</t>
  </si>
  <si>
    <t>dosage_form</t>
  </si>
  <si>
    <t>unit_price</t>
  </si>
  <si>
    <t>batch_number</t>
  </si>
  <si>
    <t>quantity_in_stock</t>
  </si>
  <si>
    <t>reorder_level</t>
  </si>
  <si>
    <t>reorder_quantity</t>
  </si>
  <si>
    <t>expiry_date</t>
  </si>
  <si>
    <t>days_to_expiry</t>
  </si>
  <si>
    <t>warehouse_section</t>
  </si>
  <si>
    <t>supplier_name</t>
  </si>
  <si>
    <t>lead_time_days</t>
  </si>
  <si>
    <t>current_stock_value</t>
  </si>
  <si>
    <t>stock_status</t>
  </si>
  <si>
    <t>MED004</t>
  </si>
  <si>
    <t>Atorvastatin 10mg Tablets</t>
  </si>
  <si>
    <t>Atorvastatin</t>
  </si>
  <si>
    <t>Cholesterol</t>
  </si>
  <si>
    <t>Tablet</t>
  </si>
  <si>
    <t>BCH30926</t>
  </si>
  <si>
    <t>B3</t>
  </si>
  <si>
    <t>Sun Pharma Distributors</t>
  </si>
  <si>
    <t>Out of Stock</t>
  </si>
  <si>
    <t>MED015</t>
  </si>
  <si>
    <t>Ciprofloxacin 500mg Tablets</t>
  </si>
  <si>
    <t>Ciprofloxacin</t>
  </si>
  <si>
    <t>Antibiotic</t>
  </si>
  <si>
    <t>BCH24371</t>
  </si>
  <si>
    <t>A2</t>
  </si>
  <si>
    <t>Expiring Soon</t>
  </si>
  <si>
    <t>MED032</t>
  </si>
  <si>
    <t>Furosemide 40mg Tablets</t>
  </si>
  <si>
    <t>Furosemide</t>
  </si>
  <si>
    <t>Diuretic</t>
  </si>
  <si>
    <t>BCH62772</t>
  </si>
  <si>
    <t>B1</t>
  </si>
  <si>
    <t>MED035</t>
  </si>
  <si>
    <t>Iron Supplement 200mg</t>
  </si>
  <si>
    <t>Ferrous Sulphate</t>
  </si>
  <si>
    <t>Supplement</t>
  </si>
  <si>
    <t>BCH95477</t>
  </si>
  <si>
    <t>A3</t>
  </si>
  <si>
    <t>MED039</t>
  </si>
  <si>
    <t>Levofloxacin 500mg Tablets</t>
  </si>
  <si>
    <t>Levofloxacin</t>
  </si>
  <si>
    <t>BCH85914</t>
  </si>
  <si>
    <t>A1</t>
  </si>
  <si>
    <t>Low Stock</t>
  </si>
  <si>
    <t>MED040</t>
  </si>
  <si>
    <t>Warfarin 5mg Tablets</t>
  </si>
  <si>
    <t>Warfarin</t>
  </si>
  <si>
    <t>Anticoagulant</t>
  </si>
  <si>
    <t>BCH86569</t>
  </si>
  <si>
    <t>MED041</t>
  </si>
  <si>
    <t>Multivitamin Syrup 200ml</t>
  </si>
  <si>
    <t>Multivitamin</t>
  </si>
  <si>
    <t>Vitamin</t>
  </si>
  <si>
    <t>Syrup</t>
  </si>
  <si>
    <t>BCH76562</t>
  </si>
  <si>
    <t>MED002</t>
  </si>
  <si>
    <t>Paracetamol 500mg Tablets</t>
  </si>
  <si>
    <t>Paracetamol</t>
  </si>
  <si>
    <t>Painkiller</t>
  </si>
  <si>
    <t>BCH10464</t>
  </si>
  <si>
    <t>C2</t>
  </si>
  <si>
    <t>BCH58393</t>
  </si>
  <si>
    <t>Healthy</t>
  </si>
  <si>
    <t>MED009</t>
  </si>
  <si>
    <t>Amlodipine 5mg Tablets</t>
  </si>
  <si>
    <t>Amlodipine</t>
  </si>
  <si>
    <t>Antihypertensive</t>
  </si>
  <si>
    <t>BCH71694</t>
  </si>
  <si>
    <t>MED013</t>
  </si>
  <si>
    <t>Pantoprazole 40mg Tablets</t>
  </si>
  <si>
    <t>Pantoprazole</t>
  </si>
  <si>
    <t>Antacid</t>
  </si>
  <si>
    <t>BCH24208</t>
  </si>
  <si>
    <t>C1</t>
  </si>
  <si>
    <t>BCH67154</t>
  </si>
  <si>
    <t>MED001</t>
  </si>
  <si>
    <t>Amoxicillin 500mg Capsules</t>
  </si>
  <si>
    <t>Amoxicillin</t>
  </si>
  <si>
    <t>Capsule</t>
  </si>
  <si>
    <t>BCH13278</t>
  </si>
  <si>
    <t>Cold-Storage</t>
  </si>
  <si>
    <t>Cipla Medical Supplies</t>
  </si>
  <si>
    <t>BCH87397</t>
  </si>
  <si>
    <t>MED005</t>
  </si>
  <si>
    <t>Omeprazole 20mg Capsules</t>
  </si>
  <si>
    <t>Omeprazole</t>
  </si>
  <si>
    <t>BCH22156</t>
  </si>
  <si>
    <t>MED007</t>
  </si>
  <si>
    <t>Ibuprofen 400mg Tablets</t>
  </si>
  <si>
    <t>Ibuprofen</t>
  </si>
  <si>
    <t>NSAID</t>
  </si>
  <si>
    <t>BCH16006</t>
  </si>
  <si>
    <t>BCH89840</t>
  </si>
  <si>
    <t>MED017</t>
  </si>
  <si>
    <t>Fluconazole 150mg Capsules</t>
  </si>
  <si>
    <t>Fluconazole</t>
  </si>
  <si>
    <t>Antifungal</t>
  </si>
  <si>
    <t>BCH99353</t>
  </si>
  <si>
    <t>MED023</t>
  </si>
  <si>
    <t>Metronidazole 400mg Tablets</t>
  </si>
  <si>
    <t>Metronidazole</t>
  </si>
  <si>
    <t>BCH79822</t>
  </si>
  <si>
    <t>MED026</t>
  </si>
  <si>
    <t>Tramadol 50mg Capsules</t>
  </si>
  <si>
    <t>Tramadol</t>
  </si>
  <si>
    <t>Opioid Analgesic</t>
  </si>
  <si>
    <t>BCH42493</t>
  </si>
  <si>
    <t>MED028</t>
  </si>
  <si>
    <t>Glibenclamide 5mg Tablets</t>
  </si>
  <si>
    <t>Glibenclamide</t>
  </si>
  <si>
    <t>Antidiabetic</t>
  </si>
  <si>
    <t>BCH14117</t>
  </si>
  <si>
    <t>B2</t>
  </si>
  <si>
    <t>MED049</t>
  </si>
  <si>
    <t>Eye Drops Ciprofloxacin 0.3%</t>
  </si>
  <si>
    <t>Eye Drops</t>
  </si>
  <si>
    <t>BCH27601</t>
  </si>
  <si>
    <t>MED006</t>
  </si>
  <si>
    <t>Azithromycin 250mg Tablets</t>
  </si>
  <si>
    <t>Azithromycin</t>
  </si>
  <si>
    <t>BCH56357</t>
  </si>
  <si>
    <t>MED027</t>
  </si>
  <si>
    <t>Ondansetron 4mg Tablets</t>
  </si>
  <si>
    <t>Ondansetron</t>
  </si>
  <si>
    <t>Antiemetic</t>
  </si>
  <si>
    <t>BCH69829</t>
  </si>
  <si>
    <t>BCH71644</t>
  </si>
  <si>
    <t>MED042</t>
  </si>
  <si>
    <t>Cough Syrup 100ml</t>
  </si>
  <si>
    <t>Dextromethorphan</t>
  </si>
  <si>
    <t>Cough Suppressant</t>
  </si>
  <si>
    <t>BCH95426</t>
  </si>
  <si>
    <t>MED019</t>
  </si>
  <si>
    <t>Ranitidine 150mg Tablets</t>
  </si>
  <si>
    <t>Ranitidine</t>
  </si>
  <si>
    <t>BCH76542</t>
  </si>
  <si>
    <t>Dr. Reddy's Logistics</t>
  </si>
  <si>
    <t>MED020</t>
  </si>
  <si>
    <t>Clopidogrel 75mg Tablets</t>
  </si>
  <si>
    <t>Clopidogrel</t>
  </si>
  <si>
    <t>Antiplatelet</t>
  </si>
  <si>
    <t>BCH59009</t>
  </si>
  <si>
    <t>MED024</t>
  </si>
  <si>
    <t>Prednisolone 5mg Tablets</t>
  </si>
  <si>
    <t>Prednisolone</t>
  </si>
  <si>
    <t>Corticosteroid</t>
  </si>
  <si>
    <t>BCH44741</t>
  </si>
  <si>
    <t>MED018</t>
  </si>
  <si>
    <t>Dexamethasone 4mg Injection</t>
  </si>
  <si>
    <t>Dexamethasone</t>
  </si>
  <si>
    <t>Injection</t>
  </si>
  <si>
    <t>BCH35144</t>
  </si>
  <si>
    <t>BCH13201</t>
  </si>
  <si>
    <t>MED029</t>
  </si>
  <si>
    <t>Ceftriaxone 1g Injection</t>
  </si>
  <si>
    <t>Ceftriaxone</t>
  </si>
  <si>
    <t>BCH72216</t>
  </si>
  <si>
    <t>MED011</t>
  </si>
  <si>
    <t>Salbutamol Inhaler 100mcg</t>
  </si>
  <si>
    <t>Salbutamol</t>
  </si>
  <si>
    <t>Bronchodilator</t>
  </si>
  <si>
    <t>Inhaler</t>
  </si>
  <si>
    <t>BCH14207</t>
  </si>
  <si>
    <t>Abbott HealthCare</t>
  </si>
  <si>
    <t>MED022</t>
  </si>
  <si>
    <t>Amitriptyline 25mg Tablets</t>
  </si>
  <si>
    <t>Amitriptyline</t>
  </si>
  <si>
    <t>Antidepressant</t>
  </si>
  <si>
    <t>BCH17592</t>
  </si>
  <si>
    <t>MED030</t>
  </si>
  <si>
    <t>Aspirin 75mg Tablets</t>
  </si>
  <si>
    <t>Aspirin</t>
  </si>
  <si>
    <t>BCH71993</t>
  </si>
  <si>
    <t>MED033</t>
  </si>
  <si>
    <t>Diazepam 5mg Tablets</t>
  </si>
  <si>
    <t>Diazepam</t>
  </si>
  <si>
    <t>Anxiolytic</t>
  </si>
  <si>
    <t>BCH34931</t>
  </si>
  <si>
    <t>MED047</t>
  </si>
  <si>
    <t>Hydrocortisone Cream 1%</t>
  </si>
  <si>
    <t>Hydrocortisone</t>
  </si>
  <si>
    <t>Cream</t>
  </si>
  <si>
    <t>BCH58434</t>
  </si>
  <si>
    <t>BCH31299</t>
  </si>
  <si>
    <t>BCH33053</t>
  </si>
  <si>
    <t>BCH28301</t>
  </si>
  <si>
    <t>Pfizer India Ltd</t>
  </si>
  <si>
    <t>BCH66985</t>
  </si>
  <si>
    <t>MED025</t>
  </si>
  <si>
    <t>Folic Acid 5mg Tablets</t>
  </si>
  <si>
    <t>Folic Acid</t>
  </si>
  <si>
    <t>BCH62296</t>
  </si>
  <si>
    <t>MED050</t>
  </si>
  <si>
    <t>Oral Rehydration Salts</t>
  </si>
  <si>
    <t>ORS</t>
  </si>
  <si>
    <t>Electrolyte</t>
  </si>
  <si>
    <t>Powder</t>
  </si>
  <si>
    <t>BCH46930</t>
  </si>
  <si>
    <t>BCH57795</t>
  </si>
  <si>
    <t>MED010</t>
  </si>
  <si>
    <t>Insulin Glargine 100U/ml</t>
  </si>
  <si>
    <t>Insulin Glargine</t>
  </si>
  <si>
    <t>BCH39831</t>
  </si>
  <si>
    <t>BCH19099</t>
  </si>
  <si>
    <t>MED031</t>
  </si>
  <si>
    <t>Erythromycin 500mg Tablets</t>
  </si>
  <si>
    <t>Erythromycin</t>
  </si>
  <si>
    <t>BCH54020</t>
  </si>
  <si>
    <t>BCH61116</t>
  </si>
  <si>
    <t>MED045</t>
  </si>
  <si>
    <t>Phenytoin 100mg Tablets</t>
  </si>
  <si>
    <t>Phenytoin</t>
  </si>
  <si>
    <t>Anticonvulsant</t>
  </si>
  <si>
    <t>BCH24168</t>
  </si>
  <si>
    <t>BCH99687</t>
  </si>
  <si>
    <t>BCH65519</t>
  </si>
  <si>
    <t>Lupin Pharmaceuticals</t>
  </si>
  <si>
    <t>MED044</t>
  </si>
  <si>
    <t>Digoxin 0.25mg Tablets</t>
  </si>
  <si>
    <t>Digoxin</t>
  </si>
  <si>
    <t>Cardiac Glycoside</t>
  </si>
  <si>
    <t>BCH41285</t>
  </si>
  <si>
    <t>BCH19508</t>
  </si>
  <si>
    <t>MED008</t>
  </si>
  <si>
    <t>Cetirizine 10mg Tablets</t>
  </si>
  <si>
    <t>Cetirizine</t>
  </si>
  <si>
    <t>Antihistamine</t>
  </si>
  <si>
    <t>BCH63964</t>
  </si>
  <si>
    <t>MED016</t>
  </si>
  <si>
    <t>Losartan 50mg Tablets</t>
  </si>
  <si>
    <t>Losartan</t>
  </si>
  <si>
    <t>BCH66531</t>
  </si>
  <si>
    <t>BCH54236</t>
  </si>
  <si>
    <t>BCH46434</t>
  </si>
  <si>
    <t>Mankind Pharma</t>
  </si>
  <si>
    <t>BCH60019</t>
  </si>
  <si>
    <t>MED036</t>
  </si>
  <si>
    <t>Calcium + Vitamin D3 Tablet</t>
  </si>
  <si>
    <t>Calcium Carbonate</t>
  </si>
  <si>
    <t>BCH73653</t>
  </si>
  <si>
    <t>MED037</t>
  </si>
  <si>
    <t>Rabeprazole 20mg Tablets</t>
  </si>
  <si>
    <t>Rabeprazole</t>
  </si>
  <si>
    <t>BCH10282</t>
  </si>
  <si>
    <t>MED038</t>
  </si>
  <si>
    <t>Sertraline 50mg Tablets</t>
  </si>
  <si>
    <t>Sertraline</t>
  </si>
  <si>
    <t>BCH82845</t>
  </si>
  <si>
    <t>BCH25713</t>
  </si>
  <si>
    <t>MED043</t>
  </si>
  <si>
    <t>Antacid Suspension 200ml</t>
  </si>
  <si>
    <t>Magnesium Hydroxide</t>
  </si>
  <si>
    <t>BCH96163</t>
  </si>
  <si>
    <t>BCH81819</t>
  </si>
  <si>
    <t>BCH92544</t>
  </si>
  <si>
    <t>BCH41979</t>
  </si>
  <si>
    <t>BCH30028</t>
  </si>
  <si>
    <t>BCH31632</t>
  </si>
  <si>
    <t>BCH87580</t>
  </si>
  <si>
    <t>MED046</t>
  </si>
  <si>
    <t>Morphine 10mg Injection</t>
  </si>
  <si>
    <t>Morphine</t>
  </si>
  <si>
    <t>BCH35995</t>
  </si>
  <si>
    <t>BCH74251</t>
  </si>
  <si>
    <t>BCH33086</t>
  </si>
  <si>
    <t>BCH80284</t>
  </si>
  <si>
    <t>Alkem Laboratories</t>
  </si>
  <si>
    <t>BCH59735</t>
  </si>
  <si>
    <t>BCH38080</t>
  </si>
  <si>
    <t>MED034</t>
  </si>
  <si>
    <t>Naproxen 250mg Tablets</t>
  </si>
  <si>
    <t>Naproxen</t>
  </si>
  <si>
    <t>BCH42742</t>
  </si>
  <si>
    <t>BCH90301</t>
  </si>
  <si>
    <t>BCH92149</t>
  </si>
  <si>
    <t>BCH38760</t>
  </si>
  <si>
    <t>BCH33819</t>
  </si>
  <si>
    <t>BCH43586</t>
  </si>
  <si>
    <t>BCH37938</t>
  </si>
  <si>
    <t>Torrent Pharma</t>
  </si>
  <si>
    <t>BCH74032</t>
  </si>
  <si>
    <t>MED003</t>
  </si>
  <si>
    <t>Metformin 500mg Tablets</t>
  </si>
  <si>
    <t>Metformin</t>
  </si>
  <si>
    <t>BCH66057</t>
  </si>
  <si>
    <t>MED012</t>
  </si>
  <si>
    <t>Lisinopril 10mg Tablets</t>
  </si>
  <si>
    <t>Lisinopril</t>
  </si>
  <si>
    <t>BCH53404</t>
  </si>
  <si>
    <t>BCH50538</t>
  </si>
  <si>
    <t>MED021</t>
  </si>
  <si>
    <t>Vitamin B12 500mcg Tablets</t>
  </si>
  <si>
    <t>Cyanocobalamin</t>
  </si>
  <si>
    <t>BCH72021</t>
  </si>
  <si>
    <t>BCH71069</t>
  </si>
  <si>
    <t>MED048</t>
  </si>
  <si>
    <t>Clotrimazole Cream 1%</t>
  </si>
  <si>
    <t>Clotrimazole</t>
  </si>
  <si>
    <t>BCH66148</t>
  </si>
  <si>
    <t>BCH13478</t>
  </si>
  <si>
    <t>Biocon Biologics</t>
  </si>
  <si>
    <t>BCH51245</t>
  </si>
  <si>
    <t>MED014</t>
  </si>
  <si>
    <t>Vitamin D3 1000IU Tablets</t>
  </si>
  <si>
    <t>Cholecalciferol</t>
  </si>
  <si>
    <t>BCH62350</t>
  </si>
  <si>
    <t>BCH52487</t>
  </si>
  <si>
    <t>BCH38864</t>
  </si>
  <si>
    <t>BCH95717</t>
  </si>
  <si>
    <t>BCH77033</t>
  </si>
  <si>
    <t>BCH89516</t>
  </si>
  <si>
    <t>BCH53933</t>
  </si>
  <si>
    <t>BCH12560</t>
  </si>
  <si>
    <t>BCH29973</t>
  </si>
  <si>
    <t>Total Medicines</t>
  </si>
  <si>
    <t>Total Stock Value</t>
  </si>
  <si>
    <t>Expiring in 90 Days</t>
  </si>
  <si>
    <t>Already Expired</t>
  </si>
  <si>
    <t>Total Suppliers</t>
  </si>
  <si>
    <t>Avg Lead Time (Days)</t>
  </si>
  <si>
    <t>Out Of Stock Items</t>
  </si>
  <si>
    <t>Low Stock Items</t>
  </si>
  <si>
    <t>KPI Name</t>
  </si>
  <si>
    <t>Value</t>
  </si>
  <si>
    <t xml:space="preserve">Unique Medicines </t>
  </si>
  <si>
    <t>Current value of all stocks</t>
  </si>
  <si>
    <t>Batches with zero Quantity</t>
  </si>
  <si>
    <t>Expiring between today - 90 days</t>
  </si>
  <si>
    <t>Below reorder level threshold</t>
  </si>
  <si>
    <t>Expiry date already passed</t>
  </si>
  <si>
    <t>Unique active suppliers</t>
  </si>
  <si>
    <t>Averge supplier delievery time</t>
  </si>
  <si>
    <t>Description</t>
  </si>
  <si>
    <t>Medicine name</t>
  </si>
  <si>
    <t>Total revenue</t>
  </si>
  <si>
    <t>sale_id</t>
  </si>
  <si>
    <t>sale_date</t>
  </si>
  <si>
    <t>quantity_sold</t>
  </si>
  <si>
    <t>total_amount</t>
  </si>
  <si>
    <t>patient_type</t>
  </si>
  <si>
    <t>prescription_no</t>
  </si>
  <si>
    <t>pharmacist_id</t>
  </si>
  <si>
    <t>Inpatient</t>
  </si>
  <si>
    <t>RX721254</t>
  </si>
  <si>
    <t>PH005</t>
  </si>
  <si>
    <t>Outpatient</t>
  </si>
  <si>
    <t/>
  </si>
  <si>
    <t>PH008</t>
  </si>
  <si>
    <t>Emergency</t>
  </si>
  <si>
    <t>RX497399</t>
  </si>
  <si>
    <t>PH006</t>
  </si>
  <si>
    <t>RX472060</t>
  </si>
  <si>
    <t>RX682789</t>
  </si>
  <si>
    <t>PH001</t>
  </si>
  <si>
    <t>PH007</t>
  </si>
  <si>
    <t>RX846420</t>
  </si>
  <si>
    <t>RX596249</t>
  </si>
  <si>
    <t>PH009</t>
  </si>
  <si>
    <t>RX468900</t>
  </si>
  <si>
    <t>PH004</t>
  </si>
  <si>
    <t>RX897135</t>
  </si>
  <si>
    <t>RX387636</t>
  </si>
  <si>
    <t>RX768854</t>
  </si>
  <si>
    <t>RX705050</t>
  </si>
  <si>
    <t>RX748458</t>
  </si>
  <si>
    <t>RX411797</t>
  </si>
  <si>
    <t>PH010</t>
  </si>
  <si>
    <t>PH002</t>
  </si>
  <si>
    <t>RX264686</t>
  </si>
  <si>
    <t>RX377405</t>
  </si>
  <si>
    <t>PH003</t>
  </si>
  <si>
    <t>RX591465</t>
  </si>
  <si>
    <t>RX559023</t>
  </si>
  <si>
    <t>RX362529</t>
  </si>
  <si>
    <t>RX901909</t>
  </si>
  <si>
    <t>RX563711</t>
  </si>
  <si>
    <t>RX195674</t>
  </si>
  <si>
    <t>RX999398</t>
  </si>
  <si>
    <t>RX519904</t>
  </si>
  <si>
    <t>RX668950</t>
  </si>
  <si>
    <t>RX893188</t>
  </si>
  <si>
    <t>RX679077</t>
  </si>
  <si>
    <t>RX779172</t>
  </si>
  <si>
    <t>RX535673</t>
  </si>
  <si>
    <t>RX396578</t>
  </si>
  <si>
    <t>RX607868</t>
  </si>
  <si>
    <t>RX437408</t>
  </si>
  <si>
    <t>RX499749</t>
  </si>
  <si>
    <t>RX232378</t>
  </si>
  <si>
    <t>RX261859</t>
  </si>
  <si>
    <t>RX516791</t>
  </si>
  <si>
    <t>RX757246</t>
  </si>
  <si>
    <t>RX897305</t>
  </si>
  <si>
    <t>RX250069</t>
  </si>
  <si>
    <t>RX177449</t>
  </si>
  <si>
    <t>RX823846</t>
  </si>
  <si>
    <t>RX994787</t>
  </si>
  <si>
    <t>RX410244</t>
  </si>
  <si>
    <t>RX341296</t>
  </si>
  <si>
    <t>RX134985</t>
  </si>
  <si>
    <t>RX442589</t>
  </si>
  <si>
    <t>RX483629</t>
  </si>
  <si>
    <t>RX178957</t>
  </si>
  <si>
    <t>RX516716</t>
  </si>
  <si>
    <t>RX769567</t>
  </si>
  <si>
    <t>RX766269</t>
  </si>
  <si>
    <t>RX879238</t>
  </si>
  <si>
    <t>RX974190</t>
  </si>
  <si>
    <t>RX327823</t>
  </si>
  <si>
    <t>RX299028</t>
  </si>
  <si>
    <t>RX122394</t>
  </si>
  <si>
    <t>RX254721</t>
  </si>
  <si>
    <t>RX937302</t>
  </si>
  <si>
    <t>RX599380</t>
  </si>
  <si>
    <t>RX790909</t>
  </si>
  <si>
    <t>RX988456</t>
  </si>
  <si>
    <t>RX565108</t>
  </si>
  <si>
    <t>RX499407</t>
  </si>
  <si>
    <t>RX203996</t>
  </si>
  <si>
    <t>RX550961</t>
  </si>
  <si>
    <t>RX865054</t>
  </si>
  <si>
    <t>RX951201</t>
  </si>
  <si>
    <t>RX802559</t>
  </si>
  <si>
    <t>RX323072</t>
  </si>
  <si>
    <t>RX683286</t>
  </si>
  <si>
    <t>RX683783</t>
  </si>
  <si>
    <t>RX693830</t>
  </si>
  <si>
    <t>RX325583</t>
  </si>
  <si>
    <t>RX856648</t>
  </si>
  <si>
    <t>RX385320</t>
  </si>
  <si>
    <t>RX386436</t>
  </si>
  <si>
    <t>RX397005</t>
  </si>
  <si>
    <t>RX904624</t>
  </si>
  <si>
    <t>RX837852</t>
  </si>
  <si>
    <t>RX878086</t>
  </si>
  <si>
    <t>RX703727</t>
  </si>
  <si>
    <t>RX479430</t>
  </si>
  <si>
    <t>RX519902</t>
  </si>
  <si>
    <t>RX449247</t>
  </si>
  <si>
    <t>RX913934</t>
  </si>
  <si>
    <t>RX787351</t>
  </si>
  <si>
    <t>RX896788</t>
  </si>
  <si>
    <t>RX754858</t>
  </si>
  <si>
    <t>RX503159</t>
  </si>
  <si>
    <t>RX699425</t>
  </si>
  <si>
    <t>RX739427</t>
  </si>
  <si>
    <t>RX454803</t>
  </si>
  <si>
    <t>RX685066</t>
  </si>
  <si>
    <t>RX711046</t>
  </si>
  <si>
    <t>RX188834</t>
  </si>
  <si>
    <t>RX969226</t>
  </si>
  <si>
    <t>RX480211</t>
  </si>
  <si>
    <t>RX609892</t>
  </si>
  <si>
    <t>RX139581</t>
  </si>
  <si>
    <t>RX270128</t>
  </si>
  <si>
    <t>RX145814</t>
  </si>
  <si>
    <t>RX888939</t>
  </si>
  <si>
    <t>RX922471</t>
  </si>
  <si>
    <t>RX395459</t>
  </si>
  <si>
    <t>RX940181</t>
  </si>
  <si>
    <t>RX489244</t>
  </si>
  <si>
    <t>RX196168</t>
  </si>
  <si>
    <t>RX515712</t>
  </si>
  <si>
    <t>RX129556</t>
  </si>
  <si>
    <t>RX745239</t>
  </si>
  <si>
    <t>RX675462</t>
  </si>
  <si>
    <t>RX579318</t>
  </si>
  <si>
    <t>RX762652</t>
  </si>
  <si>
    <t>RX744674</t>
  </si>
  <si>
    <t>RX189772</t>
  </si>
  <si>
    <t>RX632280</t>
  </si>
  <si>
    <t>RX491435</t>
  </si>
  <si>
    <t>RX868544</t>
  </si>
  <si>
    <t>RX829168</t>
  </si>
  <si>
    <t>RX579911</t>
  </si>
  <si>
    <t>RX430926</t>
  </si>
  <si>
    <t>RX230521</t>
  </si>
  <si>
    <t>RX505426</t>
  </si>
  <si>
    <t>RX644500</t>
  </si>
  <si>
    <t>RX962287</t>
  </si>
  <si>
    <t>RX823270</t>
  </si>
  <si>
    <t>RX469685</t>
  </si>
  <si>
    <t>RX525942</t>
  </si>
  <si>
    <t>RX694799</t>
  </si>
  <si>
    <t>RX900152</t>
  </si>
  <si>
    <t>RX781113</t>
  </si>
  <si>
    <t>RX623285</t>
  </si>
  <si>
    <t>RX848022</t>
  </si>
  <si>
    <t>RX168093</t>
  </si>
  <si>
    <t>RX834233</t>
  </si>
  <si>
    <t>RX930541</t>
  </si>
  <si>
    <t>RX700076</t>
  </si>
  <si>
    <t>RX190403</t>
  </si>
  <si>
    <t>RX529322</t>
  </si>
  <si>
    <t>RX918164</t>
  </si>
  <si>
    <t>RX158104</t>
  </si>
  <si>
    <t>RX362778</t>
  </si>
  <si>
    <t>RX720556</t>
  </si>
  <si>
    <t>RX454019</t>
  </si>
  <si>
    <t>RX770030</t>
  </si>
  <si>
    <t>RX416768</t>
  </si>
  <si>
    <t>RX822063</t>
  </si>
  <si>
    <t>RX456717</t>
  </si>
  <si>
    <t>RX462147</t>
  </si>
  <si>
    <t>RX434617</t>
  </si>
  <si>
    <t>RX267457</t>
  </si>
  <si>
    <t>RX622469</t>
  </si>
  <si>
    <t>RX151021</t>
  </si>
  <si>
    <t>RX399628</t>
  </si>
  <si>
    <t>RX177103</t>
  </si>
  <si>
    <t>RX753516</t>
  </si>
  <si>
    <t>RX455556</t>
  </si>
  <si>
    <t>RX520884</t>
  </si>
  <si>
    <t>RX943019</t>
  </si>
  <si>
    <t>RX246570</t>
  </si>
  <si>
    <t>RX875232</t>
  </si>
  <si>
    <t>RX843167</t>
  </si>
  <si>
    <t>RX214928</t>
  </si>
  <si>
    <t>RX787436</t>
  </si>
  <si>
    <t>RX649697</t>
  </si>
  <si>
    <t>RX353961</t>
  </si>
  <si>
    <t>RX840058</t>
  </si>
  <si>
    <t>RX601608</t>
  </si>
  <si>
    <t>RX458955</t>
  </si>
  <si>
    <t>RX358494</t>
  </si>
  <si>
    <t>RX839142</t>
  </si>
  <si>
    <t>RX687713</t>
  </si>
  <si>
    <t>RX513697</t>
  </si>
  <si>
    <t>RX829988</t>
  </si>
  <si>
    <t>RX354235</t>
  </si>
  <si>
    <t>RX155040</t>
  </si>
  <si>
    <t>RX244144</t>
  </si>
  <si>
    <t>RX598807</t>
  </si>
  <si>
    <t>RX858243</t>
  </si>
  <si>
    <t>RX516278</t>
  </si>
  <si>
    <t>RX772464</t>
  </si>
  <si>
    <t>RX302177</t>
  </si>
  <si>
    <t>RX894068</t>
  </si>
  <si>
    <t>RX190951</t>
  </si>
  <si>
    <t>RX360096</t>
  </si>
  <si>
    <t>RX445637</t>
  </si>
  <si>
    <t>RX823821</t>
  </si>
  <si>
    <t>RX329772</t>
  </si>
  <si>
    <t>RX491774</t>
  </si>
  <si>
    <t>RX965708</t>
  </si>
  <si>
    <t>RX653829</t>
  </si>
  <si>
    <t>RX575458</t>
  </si>
  <si>
    <t>RX172371</t>
  </si>
  <si>
    <t>RX903028</t>
  </si>
  <si>
    <t>RX495833</t>
  </si>
  <si>
    <t>RX464663</t>
  </si>
  <si>
    <t>RX854024</t>
  </si>
  <si>
    <t>RX133782</t>
  </si>
  <si>
    <t>RX151040</t>
  </si>
  <si>
    <t>RX403314</t>
  </si>
  <si>
    <t>RX805200</t>
  </si>
  <si>
    <t>RX533649</t>
  </si>
  <si>
    <t>RX283640</t>
  </si>
  <si>
    <t>RX803953</t>
  </si>
  <si>
    <t>RX689704</t>
  </si>
  <si>
    <t>RX367382</t>
  </si>
  <si>
    <t>RX196955</t>
  </si>
  <si>
    <t>RX716126</t>
  </si>
  <si>
    <t>RX116078</t>
  </si>
  <si>
    <t>RX602184</t>
  </si>
  <si>
    <t>RX678897</t>
  </si>
  <si>
    <t>RX476710</t>
  </si>
  <si>
    <t>RX941814</t>
  </si>
  <si>
    <t>RX534037</t>
  </si>
  <si>
    <t>RX409531</t>
  </si>
  <si>
    <t>RX357666</t>
  </si>
  <si>
    <t>RX612356</t>
  </si>
  <si>
    <t>RX649395</t>
  </si>
  <si>
    <t>RX983472</t>
  </si>
  <si>
    <t>RX746467</t>
  </si>
  <si>
    <t>RX531319</t>
  </si>
  <si>
    <t>RX117975</t>
  </si>
  <si>
    <t>RX364679</t>
  </si>
  <si>
    <t>RX525750</t>
  </si>
  <si>
    <t>RX989053</t>
  </si>
  <si>
    <t>RX495490</t>
  </si>
  <si>
    <t>RX199994</t>
  </si>
  <si>
    <t>RX598598</t>
  </si>
  <si>
    <t>RX669408</t>
  </si>
  <si>
    <t>RX447843</t>
  </si>
  <si>
    <t>RX625119</t>
  </si>
  <si>
    <t>RX457137</t>
  </si>
  <si>
    <t>RX442230</t>
  </si>
  <si>
    <t>RX498535</t>
  </si>
  <si>
    <t>RX186023</t>
  </si>
  <si>
    <t>RX478221</t>
  </si>
  <si>
    <t>RX382870</t>
  </si>
  <si>
    <t>RX681687</t>
  </si>
  <si>
    <t>RX197584</t>
  </si>
  <si>
    <t>RX354533</t>
  </si>
  <si>
    <t>RX358568</t>
  </si>
  <si>
    <t>RX498343</t>
  </si>
  <si>
    <t>RX242736</t>
  </si>
  <si>
    <t>RX517584</t>
  </si>
  <si>
    <t>RX441716</t>
  </si>
  <si>
    <t>RX676820</t>
  </si>
  <si>
    <t>RX971662</t>
  </si>
  <si>
    <t>RX353777</t>
  </si>
  <si>
    <t>RX825309</t>
  </si>
  <si>
    <t>RX662986</t>
  </si>
  <si>
    <t>RX789545</t>
  </si>
  <si>
    <t>RX776364</t>
  </si>
  <si>
    <t>RX703178</t>
  </si>
  <si>
    <t>RX717181</t>
  </si>
  <si>
    <t>RX577450</t>
  </si>
  <si>
    <t>RX220675</t>
  </si>
  <si>
    <t>RX876459</t>
  </si>
  <si>
    <t>RX547080</t>
  </si>
  <si>
    <t>RX550418</t>
  </si>
  <si>
    <t>RX306647</t>
  </si>
  <si>
    <t>RX428628</t>
  </si>
  <si>
    <t>RX411893</t>
  </si>
  <si>
    <t>RX294776</t>
  </si>
  <si>
    <t>RX476479</t>
  </si>
  <si>
    <t>RX629990</t>
  </si>
  <si>
    <t>RX565412</t>
  </si>
  <si>
    <t>RX331241</t>
  </si>
  <si>
    <t>RX700534</t>
  </si>
  <si>
    <t>RX893547</t>
  </si>
  <si>
    <t>RX133796</t>
  </si>
  <si>
    <t>RX223088</t>
  </si>
  <si>
    <t>RX845279</t>
  </si>
  <si>
    <t>RX394739</t>
  </si>
  <si>
    <t>RX242175</t>
  </si>
  <si>
    <t>RX361805</t>
  </si>
  <si>
    <t>RX249077</t>
  </si>
  <si>
    <t>RX764406</t>
  </si>
  <si>
    <t>RX486999</t>
  </si>
  <si>
    <t>RX988319</t>
  </si>
  <si>
    <t>RX475623</t>
  </si>
  <si>
    <t>RX618746</t>
  </si>
  <si>
    <t>RX236937</t>
  </si>
  <si>
    <t>RX148174</t>
  </si>
  <si>
    <t>RX273565</t>
  </si>
  <si>
    <t>RX345517</t>
  </si>
  <si>
    <t>RX109738</t>
  </si>
  <si>
    <t>RX600905</t>
  </si>
  <si>
    <t>RX208214</t>
  </si>
  <si>
    <t>RX952878</t>
  </si>
  <si>
    <t>RX108886</t>
  </si>
  <si>
    <t>RX758589</t>
  </si>
  <si>
    <t>RX468611</t>
  </si>
  <si>
    <t>RX398761</t>
  </si>
  <si>
    <t>RX634273</t>
  </si>
  <si>
    <t>RX722780</t>
  </si>
  <si>
    <t>RX238394</t>
  </si>
  <si>
    <t>RX899776</t>
  </si>
  <si>
    <t>RX759104</t>
  </si>
  <si>
    <t>RX771652</t>
  </si>
  <si>
    <t>RX509711</t>
  </si>
  <si>
    <t>RX865416</t>
  </si>
  <si>
    <t>RX876636</t>
  </si>
  <si>
    <t>RX908903</t>
  </si>
  <si>
    <t>RX375722</t>
  </si>
  <si>
    <t>RX158132</t>
  </si>
  <si>
    <t>RX102693</t>
  </si>
  <si>
    <t>RX257375</t>
  </si>
  <si>
    <t>RX536476</t>
  </si>
  <si>
    <t>RX626428</t>
  </si>
  <si>
    <t>RX172274</t>
  </si>
  <si>
    <t>RX418672</t>
  </si>
  <si>
    <t>RX910143</t>
  </si>
  <si>
    <t>RX827146</t>
  </si>
  <si>
    <t>RX208998</t>
  </si>
  <si>
    <t>RX249289</t>
  </si>
  <si>
    <t>RX490586</t>
  </si>
  <si>
    <t>RX768169</t>
  </si>
  <si>
    <t>RX237057</t>
  </si>
  <si>
    <t>RX871073</t>
  </si>
  <si>
    <t>RX993892</t>
  </si>
  <si>
    <t>RX142288</t>
  </si>
  <si>
    <t>RX676843</t>
  </si>
  <si>
    <t>RX490321</t>
  </si>
  <si>
    <t>RX778720</t>
  </si>
  <si>
    <t>RX935922</t>
  </si>
  <si>
    <t>RX919898</t>
  </si>
  <si>
    <t>RX626797</t>
  </si>
  <si>
    <t>RX329659</t>
  </si>
  <si>
    <t>RX904092</t>
  </si>
  <si>
    <t>RX936124</t>
  </si>
  <si>
    <t>RX977340</t>
  </si>
  <si>
    <t>RX100716</t>
  </si>
  <si>
    <t>RX941403</t>
  </si>
  <si>
    <t>RX248533</t>
  </si>
  <si>
    <t>RX794303</t>
  </si>
  <si>
    <t>RX265154</t>
  </si>
  <si>
    <t>RX841535</t>
  </si>
  <si>
    <t>RX233534</t>
  </si>
  <si>
    <t>RX908274</t>
  </si>
  <si>
    <t>RX741079</t>
  </si>
  <si>
    <t>RX193035</t>
  </si>
  <si>
    <t>RX617033</t>
  </si>
  <si>
    <t>RX927043</t>
  </si>
  <si>
    <t>RX938016</t>
  </si>
  <si>
    <t>Rank</t>
  </si>
  <si>
    <t>Running Total</t>
  </si>
  <si>
    <t>Grand Total</t>
  </si>
  <si>
    <t>Cumulative %</t>
  </si>
  <si>
    <t>ABC class</t>
  </si>
  <si>
    <t>Category</t>
  </si>
  <si>
    <t>Label</t>
  </si>
  <si>
    <t>Count</t>
  </si>
  <si>
    <t>A - High Value</t>
  </si>
  <si>
    <t>B - Medium Value</t>
  </si>
  <si>
    <t>C - Low Value</t>
  </si>
  <si>
    <t xml:space="preserve">Ordering Cost Per Order </t>
  </si>
  <si>
    <t>Holding Cost % of Unit Price</t>
  </si>
  <si>
    <t>Medicine ID</t>
  </si>
  <si>
    <t>Medicine Name</t>
  </si>
  <si>
    <t>Unit Price</t>
  </si>
  <si>
    <t xml:space="preserve">Annual Demand (units) </t>
  </si>
  <si>
    <t>Ordering Cost (Rs)</t>
  </si>
  <si>
    <t>Holding Cost Per Unit (Rs)</t>
  </si>
  <si>
    <t>EOQ (Units)</t>
  </si>
  <si>
    <t>Current reorder Quantity</t>
  </si>
  <si>
    <t>Reorder Level</t>
  </si>
  <si>
    <t>Difference ( EOQ vs Current)</t>
  </si>
  <si>
    <t>Analysis Date</t>
  </si>
  <si>
    <t xml:space="preserve">Economic Order Quantity (EOQ) Calculation </t>
  </si>
  <si>
    <t>ASSUMPTIONS</t>
  </si>
  <si>
    <t>Economic Order Quantity (EOQ) is the ideal quantity to order each time to minimise total inventory cost — balancing the cost of ordering too frequently vs holding too much stock.</t>
  </si>
  <si>
    <t>ABC Analysis</t>
  </si>
  <si>
    <t>Classifies every medicine as A (top 70% revenue), B (next 20%), or C (bottom 10%) using cumulative percentage formulas.</t>
  </si>
  <si>
    <t xml:space="preserve">Sales Data </t>
  </si>
  <si>
    <t>Stock Status</t>
  </si>
  <si>
    <t>Batch Count</t>
  </si>
  <si>
    <t>Total_units</t>
  </si>
  <si>
    <t xml:space="preserve"> Stock Value (₹)</t>
  </si>
  <si>
    <t>Total Stock value</t>
  </si>
  <si>
    <t>Avg Unit Price</t>
  </si>
  <si>
    <t>Stock Status Summary</t>
  </si>
  <si>
    <t>Stock Value By Category</t>
  </si>
  <si>
    <t>Supplier Performance Summary</t>
  </si>
  <si>
    <t>Average Lead Days</t>
  </si>
  <si>
    <t>Supplier Name</t>
  </si>
  <si>
    <t>Expiry Analysis By Warehouse Section</t>
  </si>
  <si>
    <t>Section</t>
  </si>
  <si>
    <t>Status</t>
  </si>
  <si>
    <t>Warehouse</t>
  </si>
  <si>
    <t>Medicines</t>
  </si>
  <si>
    <t xml:space="preserve">Category vs Stock Status </t>
  </si>
  <si>
    <t>Already 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</si>
</sst>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yyyy/mm/dd;@"/>
    <numFmt numFmtId="165" formatCode="&quot;₹&quot;\ #,##0.00"/>
    <numFmt numFmtId="166" formatCode="0.0"/>
    <numFmt numFmtId="167" formatCode="_ [$₹-4009]\ * #,##0.00_ ;_ [$₹-4009]\ * \-#,##0.00_ ;_ [$₹-4009]\ * &quot;-&quot;??_ ;_ @_ "/>
    <numFmt numFmtId="168" formatCode="&quot;₹&quot;\ #,##0.0"/>
  </numFmts>
  <fonts count="25"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i/>
      <sz val="11"/>
      <color theme="1"/>
      <name val="Calibri"/>
      <family val="2"/>
    </font>
    <font>
      <sz val="26"/>
      <color theme="0"/>
      <name val="Calibri"/>
      <family val="2"/>
    </font>
    <font>
      <i/>
      <sz val="12"/>
      <color rgb="FF333333"/>
      <name val="Calibri"/>
      <family val="2"/>
    </font>
    <font>
      <b/>
      <sz val="18"/>
      <color theme="0"/>
      <name val="Calibri"/>
      <family val="2"/>
    </font>
    <font>
      <b/>
      <sz val="26"/>
      <color theme="0"/>
      <name val="Calibri"/>
      <family val="2"/>
    </font>
    <font>
      <i/>
      <sz val="12"/>
      <color theme="1"/>
      <name val="Calibri"/>
      <family val="2"/>
    </font>
    <font>
      <sz val="18"/>
      <color theme="0"/>
      <name val="Calibri"/>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FFFF66"/>
        <bgColor indexed="64"/>
      </patternFill>
    </fill>
    <fill>
      <patternFill patternType="solid">
        <fgColor theme="4"/>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4"/>
      </left>
      <right/>
      <top style="thin">
        <color theme="4"/>
      </top>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64" fontId="0" fillId="0" borderId="0" xfId="0" applyNumberFormat="1"/>
    <xf numFmtId="165" fontId="0" fillId="0" borderId="0" xfId="0" applyNumberFormat="1"/>
    <xf numFmtId="2" fontId="0" fillId="0" borderId="0" xfId="0" applyNumberFormat="1"/>
    <xf numFmtId="0" fontId="16" fillId="0" borderId="0" xfId="0" applyFont="1"/>
    <xf numFmtId="14" fontId="0" fillId="0" borderId="0" xfId="0" applyNumberFormat="1"/>
    <xf numFmtId="0" fontId="0" fillId="0" borderId="11" xfId="0" applyBorder="1"/>
    <xf numFmtId="3" fontId="0" fillId="0" borderId="0" xfId="0" applyNumberFormat="1"/>
    <xf numFmtId="168" fontId="0" fillId="0" borderId="0" xfId="0" applyNumberFormat="1"/>
    <xf numFmtId="0" fontId="0" fillId="0" borderId="10" xfId="0" applyBorder="1"/>
    <xf numFmtId="0" fontId="13" fillId="33" borderId="10" xfId="0" applyFont="1" applyFill="1" applyBorder="1" applyAlignment="1">
      <alignment horizontal="center" vertical="center"/>
    </xf>
    <xf numFmtId="166" fontId="0" fillId="0" borderId="10" xfId="0" applyNumberFormat="1" applyBorder="1"/>
    <xf numFmtId="167" fontId="0" fillId="0" borderId="10" xfId="0" applyNumberFormat="1" applyBorder="1"/>
    <xf numFmtId="1" fontId="0" fillId="0" borderId="10" xfId="0" applyNumberFormat="1" applyBorder="1"/>
    <xf numFmtId="0" fontId="16" fillId="0" borderId="10" xfId="0" applyFont="1" applyBorder="1"/>
    <xf numFmtId="0" fontId="18" fillId="0" borderId="0" xfId="0" applyFont="1" applyAlignment="1">
      <alignment vertical="top"/>
    </xf>
    <xf numFmtId="0" fontId="17" fillId="35" borderId="0" xfId="0" applyFont="1" applyFill="1"/>
    <xf numFmtId="0" fontId="16" fillId="34" borderId="10" xfId="0" applyFont="1" applyFill="1" applyBorder="1"/>
    <xf numFmtId="14" fontId="16" fillId="34" borderId="10" xfId="0" applyNumberFormat="1" applyFont="1" applyFill="1" applyBorder="1"/>
    <xf numFmtId="0" fontId="0" fillId="0" borderId="12" xfId="0" applyBorder="1"/>
    <xf numFmtId="0" fontId="17" fillId="40" borderId="10" xfId="0" applyFont="1" applyFill="1" applyBorder="1"/>
    <xf numFmtId="0" fontId="0" fillId="0" borderId="0" xfId="0" pivotButton="1"/>
    <xf numFmtId="0" fontId="0" fillId="0" borderId="0" xfId="0" applyAlignment="1">
      <alignment horizontal="left"/>
    </xf>
    <xf numFmtId="0" fontId="22" fillId="40" borderId="0" xfId="0" applyFont="1" applyFill="1" applyAlignment="1">
      <alignment horizontal="center"/>
    </xf>
    <xf numFmtId="0" fontId="19" fillId="38" borderId="0" xfId="0" applyFont="1" applyFill="1" applyAlignment="1">
      <alignment horizontal="center"/>
    </xf>
    <xf numFmtId="0" fontId="20" fillId="39" borderId="0" xfId="0" applyFont="1" applyFill="1" applyAlignment="1">
      <alignment horizontal="left"/>
    </xf>
    <xf numFmtId="0" fontId="23" fillId="37" borderId="0" xfId="0" applyFont="1" applyFill="1" applyAlignment="1">
      <alignment vertical="top"/>
    </xf>
    <xf numFmtId="0" fontId="22" fillId="36" borderId="0" xfId="0" applyFont="1" applyFill="1" applyAlignment="1">
      <alignment horizontal="center"/>
    </xf>
    <xf numFmtId="0" fontId="21" fillId="40" borderId="0" xfId="0" applyFont="1" applyFill="1" applyAlignment="1">
      <alignment horizontal="center"/>
    </xf>
    <xf numFmtId="0" fontId="24" fillId="40"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9" formatCode="dd/mm/yyyy"/>
    </dxf>
    <dxf>
      <font>
        <color rgb="FF006100"/>
      </font>
      <fill>
        <patternFill>
          <bgColor rgb="FFC6EFCE"/>
        </patternFill>
      </fill>
    </dxf>
    <dxf>
      <font>
        <color rgb="FF9C5700"/>
      </font>
      <fill>
        <patternFill>
          <bgColor rgb="FFFFEB9C"/>
        </patternFill>
      </fill>
    </dxf>
    <dxf>
      <fill>
        <patternFill>
          <bgColor rgb="FFEC834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none"/>
      </font>
      <border diagonalUp="0" diagonalDown="0">
        <left style="thin">
          <color theme="4"/>
        </left>
        <right/>
        <top style="thin">
          <color theme="4"/>
        </top>
        <bottom/>
        <vertical/>
        <horizontal/>
      </border>
    </dxf>
    <dxf>
      <font>
        <b/>
      </font>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65" formatCode="&quot;₹&quot;\ #,##0.00"/>
    </dxf>
    <dxf>
      <numFmt numFmtId="164" formatCode="[$-14009]yyyy/mm/dd;@"/>
    </dxf>
    <dxf>
      <numFmt numFmtId="3" formatCode="#,##0"/>
    </dxf>
  </dxfs>
  <tableStyles count="0" defaultTableStyle="TableStyleMedium2" defaultPivotStyle="PivotStyleLight16"/>
  <colors>
    <mruColors>
      <color rgb="FFFFFF66"/>
      <color rgb="FFFF5050"/>
      <color rgb="FFFFCC66"/>
      <color rgb="FFEC83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ABC class Distribution</a:t>
            </a:r>
            <a:r>
              <a:rPr lang="en-IN" baseline="0"/>
              <a:t> </a:t>
            </a:r>
            <a:endParaRPr lang="en-IN"/>
          </a:p>
        </c:rich>
      </c:tx>
      <c:layout>
        <c:manualLayout>
          <c:xMode val="edge"/>
          <c:yMode val="edge"/>
          <c:x val="0.20095404915508494"/>
          <c:y val="6.66867122925747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28611120262686"/>
          <c:y val="0.12320618449183918"/>
          <c:w val="0.47611603465884755"/>
          <c:h val="0.75358763101632165"/>
        </c:manualLayout>
      </c:layout>
      <c:doughnutChart>
        <c:varyColors val="1"/>
        <c:ser>
          <c:idx val="0"/>
          <c:order val="0"/>
          <c:tx>
            <c:strRef>
              <c:f>ABC_Analysis!$K$5</c:f>
              <c:strCache>
                <c:ptCount val="1"/>
                <c:pt idx="0">
                  <c:v>Value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6F73-4105-8C4C-E64B9271BDF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F73-4105-8C4C-E64B9271BDF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F73-4105-8C4C-E64B9271BD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ABC_Analysis!$J$6:$J$8</c:f>
              <c:strCache>
                <c:ptCount val="3"/>
                <c:pt idx="0">
                  <c:v>A - High Value</c:v>
                </c:pt>
                <c:pt idx="1">
                  <c:v>B - Medium Value</c:v>
                </c:pt>
                <c:pt idx="2">
                  <c:v>C - Low Value</c:v>
                </c:pt>
              </c:strCache>
            </c:strRef>
          </c:cat>
          <c:val>
            <c:numRef>
              <c:f>ABC_Analysis!$K$6:$K$8</c:f>
              <c:numCache>
                <c:formatCode>General</c:formatCode>
                <c:ptCount val="3"/>
                <c:pt idx="0">
                  <c:v>12</c:v>
                </c:pt>
                <c:pt idx="1">
                  <c:v>14</c:v>
                </c:pt>
                <c:pt idx="2">
                  <c:v>24</c:v>
                </c:pt>
              </c:numCache>
            </c:numRef>
          </c:val>
          <c:extLst>
            <c:ext xmlns:c16="http://schemas.microsoft.com/office/drawing/2014/chart" uri="{C3380CC4-5D6E-409C-BE32-E72D297353CC}">
              <c16:uniqueId val="{00000000-6F73-4105-8C4C-E64B9271BDF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[Pharmacy_Analysis.xlsx]pivot_tables!PivotTable6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pivot_tables!$C$3</c:f>
              <c:strCache>
                <c:ptCount val="1"/>
                <c:pt idx="0">
                  <c:v>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4B-4052-BC07-86811272C7A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4B-4052-BC07-86811272C7A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84B-4052-BC07-86811272C7A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84B-4052-BC07-86811272C7A9}"/>
              </c:ext>
            </c:extLst>
          </c:dPt>
          <c:dPt>
            <c:idx val="4"/>
            <c:bubble3D val="0"/>
            <c:spPr>
              <a:solidFill>
                <a:schemeClr val="accent5"/>
              </a:solidFill>
              <a:ln w="25400">
                <a:solidFill>
                  <a:schemeClr val="lt1"/>
                </a:solidFill>
              </a:ln>
              <a:effectLst/>
              <a:sp3d contourW="25400">
                <a:contourClr>
                  <a:schemeClr val="lt1"/>
                </a:contourClr>
              </a:sp3d>
            </c:spPr>
          </c:dPt>
          <c:cat>
            <c:strRef>
              <c:f>pivot_tables!$B$4:$B$9</c:f>
              <c:strCache>
                <c:ptCount val="5"/>
                <c:pt idx="0">
                  <c:v>Expiring Soon</c:v>
                </c:pt>
                <c:pt idx="1">
                  <c:v>Healthy</c:v>
                </c:pt>
                <c:pt idx="2">
                  <c:v>Low Stock</c:v>
                </c:pt>
                <c:pt idx="3">
                  <c:v>Out of Stock</c:v>
                </c:pt>
                <c:pt idx="4">
                  <c:v>Already expired</c:v>
                </c:pt>
              </c:strCache>
            </c:strRef>
          </c:cat>
          <c:val>
            <c:numRef>
              <c:f>pivot_tables!$C$4:$C$9</c:f>
              <c:numCache>
                <c:formatCode>General</c:formatCode>
                <c:ptCount val="5"/>
                <c:pt idx="0">
                  <c:v>9</c:v>
                </c:pt>
                <c:pt idx="1">
                  <c:v>12</c:v>
                </c:pt>
                <c:pt idx="2">
                  <c:v>12</c:v>
                </c:pt>
                <c:pt idx="3">
                  <c:v>5</c:v>
                </c:pt>
                <c:pt idx="4">
                  <c:v>62</c:v>
                </c:pt>
              </c:numCache>
            </c:numRef>
          </c:val>
          <c:extLst>
            <c:ext xmlns:c16="http://schemas.microsoft.com/office/drawing/2014/chart" uri="{C3380CC4-5D6E-409C-BE32-E72D297353CC}">
              <c16:uniqueId val="{00000000-88B4-4F3C-BCDC-8BF47138F399}"/>
            </c:ext>
          </c:extLst>
        </c:ser>
        <c:ser>
          <c:idx val="1"/>
          <c:order val="1"/>
          <c:tx>
            <c:strRef>
              <c:f>pivot_tables!$D$3</c:f>
              <c:strCache>
                <c:ptCount val="1"/>
                <c:pt idx="0">
                  <c:v>Total_units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D84B-4052-BC07-86811272C7A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D84B-4052-BC07-86811272C7A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D84B-4052-BC07-86811272C7A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D84B-4052-BC07-86811272C7A9}"/>
              </c:ext>
            </c:extLst>
          </c:dPt>
          <c:dPt>
            <c:idx val="4"/>
            <c:bubble3D val="0"/>
            <c:spPr>
              <a:solidFill>
                <a:schemeClr val="accent5"/>
              </a:solidFill>
              <a:ln w="25400">
                <a:solidFill>
                  <a:schemeClr val="lt1"/>
                </a:solidFill>
              </a:ln>
              <a:effectLst/>
              <a:sp3d contourW="25400">
                <a:contourClr>
                  <a:schemeClr val="lt1"/>
                </a:contourClr>
              </a:sp3d>
            </c:spPr>
          </c:dPt>
          <c:cat>
            <c:strRef>
              <c:f>pivot_tables!$B$4:$B$9</c:f>
              <c:strCache>
                <c:ptCount val="5"/>
                <c:pt idx="0">
                  <c:v>Expiring Soon</c:v>
                </c:pt>
                <c:pt idx="1">
                  <c:v>Healthy</c:v>
                </c:pt>
                <c:pt idx="2">
                  <c:v>Low Stock</c:v>
                </c:pt>
                <c:pt idx="3">
                  <c:v>Out of Stock</c:v>
                </c:pt>
                <c:pt idx="4">
                  <c:v>Already expired</c:v>
                </c:pt>
              </c:strCache>
            </c:strRef>
          </c:cat>
          <c:val>
            <c:numRef>
              <c:f>pivot_tables!$D$4:$D$9</c:f>
              <c:numCache>
                <c:formatCode>General</c:formatCode>
                <c:ptCount val="5"/>
                <c:pt idx="0">
                  <c:v>2017</c:v>
                </c:pt>
                <c:pt idx="1">
                  <c:v>3137</c:v>
                </c:pt>
                <c:pt idx="2">
                  <c:v>449</c:v>
                </c:pt>
                <c:pt idx="3">
                  <c:v>0</c:v>
                </c:pt>
                <c:pt idx="4">
                  <c:v>19379</c:v>
                </c:pt>
              </c:numCache>
            </c:numRef>
          </c:val>
          <c:extLst>
            <c:ext xmlns:c16="http://schemas.microsoft.com/office/drawing/2014/chart" uri="{C3380CC4-5D6E-409C-BE32-E72D297353CC}">
              <c16:uniqueId val="{00000001-88B4-4F3C-BCDC-8BF47138F399}"/>
            </c:ext>
          </c:extLst>
        </c:ser>
        <c:ser>
          <c:idx val="2"/>
          <c:order val="2"/>
          <c:tx>
            <c:strRef>
              <c:f>pivot_tables!$E$3</c:f>
              <c:strCache>
                <c:ptCount val="1"/>
                <c:pt idx="0">
                  <c:v> Stock Value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D84B-4052-BC07-86811272C7A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D84B-4052-BC07-86811272C7A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D84B-4052-BC07-86811272C7A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D84B-4052-BC07-86811272C7A9}"/>
              </c:ext>
            </c:extLst>
          </c:dPt>
          <c:dPt>
            <c:idx val="4"/>
            <c:bubble3D val="0"/>
            <c:spPr>
              <a:solidFill>
                <a:schemeClr val="accent5"/>
              </a:solidFill>
              <a:ln w="25400">
                <a:solidFill>
                  <a:schemeClr val="lt1"/>
                </a:solidFill>
              </a:ln>
              <a:effectLst/>
              <a:sp3d contourW="25400">
                <a:contourClr>
                  <a:schemeClr val="lt1"/>
                </a:contourClr>
              </a:sp3d>
            </c:spPr>
          </c:dPt>
          <c:cat>
            <c:strRef>
              <c:f>pivot_tables!$B$4:$B$9</c:f>
              <c:strCache>
                <c:ptCount val="5"/>
                <c:pt idx="0">
                  <c:v>Expiring Soon</c:v>
                </c:pt>
                <c:pt idx="1">
                  <c:v>Healthy</c:v>
                </c:pt>
                <c:pt idx="2">
                  <c:v>Low Stock</c:v>
                </c:pt>
                <c:pt idx="3">
                  <c:v>Out of Stock</c:v>
                </c:pt>
                <c:pt idx="4">
                  <c:v>Already expired</c:v>
                </c:pt>
              </c:strCache>
            </c:strRef>
          </c:cat>
          <c:val>
            <c:numRef>
              <c:f>pivot_tables!$E$4:$E$9</c:f>
              <c:numCache>
                <c:formatCode>General</c:formatCode>
                <c:ptCount val="5"/>
                <c:pt idx="0">
                  <c:v>44335.5</c:v>
                </c:pt>
                <c:pt idx="1">
                  <c:v>43462.5</c:v>
                </c:pt>
                <c:pt idx="2">
                  <c:v>14048.5</c:v>
                </c:pt>
                <c:pt idx="3">
                  <c:v>0</c:v>
                </c:pt>
                <c:pt idx="4">
                  <c:v>489362.25</c:v>
                </c:pt>
              </c:numCache>
            </c:numRef>
          </c:val>
          <c:extLst>
            <c:ext xmlns:c16="http://schemas.microsoft.com/office/drawing/2014/chart" uri="{C3380CC4-5D6E-409C-BE32-E72D297353CC}">
              <c16:uniqueId val="{00000002-88B4-4F3C-BCDC-8BF47138F39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[Pharmacy_Analysis.xlsx]pivot_tables!PivotTable9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pivot_tables!$M$3:$M$4</c:f>
              <c:strCache>
                <c:ptCount val="1"/>
                <c:pt idx="0">
                  <c:v>Expiring Soon</c:v>
                </c:pt>
              </c:strCache>
            </c:strRef>
          </c:tx>
          <c:spPr>
            <a:solidFill>
              <a:schemeClr val="accent1"/>
            </a:solidFill>
            <a:ln>
              <a:noFill/>
            </a:ln>
            <a:effectLst/>
            <a:sp3d/>
          </c:spPr>
          <c:invertIfNegative val="0"/>
          <c:cat>
            <c:strRef>
              <c:f>pivot_tables!$L$5:$L$14</c:f>
              <c:strCache>
                <c:ptCount val="9"/>
                <c:pt idx="0">
                  <c:v>A1</c:v>
                </c:pt>
                <c:pt idx="1">
                  <c:v>A2</c:v>
                </c:pt>
                <c:pt idx="2">
                  <c:v>A3</c:v>
                </c:pt>
                <c:pt idx="3">
                  <c:v>B1</c:v>
                </c:pt>
                <c:pt idx="4">
                  <c:v>B2</c:v>
                </c:pt>
                <c:pt idx="5">
                  <c:v>B3</c:v>
                </c:pt>
                <c:pt idx="6">
                  <c:v>C1</c:v>
                </c:pt>
                <c:pt idx="7">
                  <c:v>C2</c:v>
                </c:pt>
                <c:pt idx="8">
                  <c:v>Cold-Storage</c:v>
                </c:pt>
              </c:strCache>
            </c:strRef>
          </c:cat>
          <c:val>
            <c:numRef>
              <c:f>pivot_tables!$M$5:$M$14</c:f>
              <c:numCache>
                <c:formatCode>General</c:formatCode>
                <c:ptCount val="9"/>
                <c:pt idx="0">
                  <c:v>1</c:v>
                </c:pt>
                <c:pt idx="2">
                  <c:v>1</c:v>
                </c:pt>
                <c:pt idx="3">
                  <c:v>3</c:v>
                </c:pt>
                <c:pt idx="4">
                  <c:v>1</c:v>
                </c:pt>
                <c:pt idx="6">
                  <c:v>2</c:v>
                </c:pt>
                <c:pt idx="8">
                  <c:v>1</c:v>
                </c:pt>
              </c:numCache>
            </c:numRef>
          </c:val>
          <c:extLst>
            <c:ext xmlns:c16="http://schemas.microsoft.com/office/drawing/2014/chart" uri="{C3380CC4-5D6E-409C-BE32-E72D297353CC}">
              <c16:uniqueId val="{00000000-A486-452D-805A-EB5539C3812D}"/>
            </c:ext>
          </c:extLst>
        </c:ser>
        <c:ser>
          <c:idx val="1"/>
          <c:order val="1"/>
          <c:tx>
            <c:strRef>
              <c:f>pivot_tables!$N$3:$N$4</c:f>
              <c:strCache>
                <c:ptCount val="1"/>
                <c:pt idx="0">
                  <c:v>Healthy</c:v>
                </c:pt>
              </c:strCache>
            </c:strRef>
          </c:tx>
          <c:spPr>
            <a:solidFill>
              <a:schemeClr val="accent2"/>
            </a:solidFill>
            <a:ln>
              <a:noFill/>
            </a:ln>
            <a:effectLst/>
            <a:sp3d/>
          </c:spPr>
          <c:invertIfNegative val="0"/>
          <c:cat>
            <c:strRef>
              <c:f>pivot_tables!$L$5:$L$14</c:f>
              <c:strCache>
                <c:ptCount val="9"/>
                <c:pt idx="0">
                  <c:v>A1</c:v>
                </c:pt>
                <c:pt idx="1">
                  <c:v>A2</c:v>
                </c:pt>
                <c:pt idx="2">
                  <c:v>A3</c:v>
                </c:pt>
                <c:pt idx="3">
                  <c:v>B1</c:v>
                </c:pt>
                <c:pt idx="4">
                  <c:v>B2</c:v>
                </c:pt>
                <c:pt idx="5">
                  <c:v>B3</c:v>
                </c:pt>
                <c:pt idx="6">
                  <c:v>C1</c:v>
                </c:pt>
                <c:pt idx="7">
                  <c:v>C2</c:v>
                </c:pt>
                <c:pt idx="8">
                  <c:v>Cold-Storage</c:v>
                </c:pt>
              </c:strCache>
            </c:strRef>
          </c:cat>
          <c:val>
            <c:numRef>
              <c:f>pivot_tables!$N$5:$N$14</c:f>
              <c:numCache>
                <c:formatCode>General</c:formatCode>
                <c:ptCount val="9"/>
                <c:pt idx="0">
                  <c:v>2</c:v>
                </c:pt>
                <c:pt idx="2">
                  <c:v>1</c:v>
                </c:pt>
                <c:pt idx="3">
                  <c:v>4</c:v>
                </c:pt>
                <c:pt idx="4">
                  <c:v>1</c:v>
                </c:pt>
                <c:pt idx="5">
                  <c:v>1</c:v>
                </c:pt>
                <c:pt idx="6">
                  <c:v>1</c:v>
                </c:pt>
                <c:pt idx="7">
                  <c:v>1</c:v>
                </c:pt>
                <c:pt idx="8">
                  <c:v>1</c:v>
                </c:pt>
              </c:numCache>
            </c:numRef>
          </c:val>
          <c:extLst>
            <c:ext xmlns:c16="http://schemas.microsoft.com/office/drawing/2014/chart" uri="{C3380CC4-5D6E-409C-BE32-E72D297353CC}">
              <c16:uniqueId val="{00000001-A486-452D-805A-EB5539C3812D}"/>
            </c:ext>
          </c:extLst>
        </c:ser>
        <c:ser>
          <c:idx val="2"/>
          <c:order val="2"/>
          <c:tx>
            <c:strRef>
              <c:f>pivot_tables!$O$3:$O$4</c:f>
              <c:strCache>
                <c:ptCount val="1"/>
                <c:pt idx="0">
                  <c:v>Low Stock</c:v>
                </c:pt>
              </c:strCache>
            </c:strRef>
          </c:tx>
          <c:spPr>
            <a:solidFill>
              <a:schemeClr val="accent3"/>
            </a:solidFill>
            <a:ln>
              <a:noFill/>
            </a:ln>
            <a:effectLst/>
            <a:sp3d/>
          </c:spPr>
          <c:invertIfNegative val="0"/>
          <c:cat>
            <c:strRef>
              <c:f>pivot_tables!$L$5:$L$14</c:f>
              <c:strCache>
                <c:ptCount val="9"/>
                <c:pt idx="0">
                  <c:v>A1</c:v>
                </c:pt>
                <c:pt idx="1">
                  <c:v>A2</c:v>
                </c:pt>
                <c:pt idx="2">
                  <c:v>A3</c:v>
                </c:pt>
                <c:pt idx="3">
                  <c:v>B1</c:v>
                </c:pt>
                <c:pt idx="4">
                  <c:v>B2</c:v>
                </c:pt>
                <c:pt idx="5">
                  <c:v>B3</c:v>
                </c:pt>
                <c:pt idx="6">
                  <c:v>C1</c:v>
                </c:pt>
                <c:pt idx="7">
                  <c:v>C2</c:v>
                </c:pt>
                <c:pt idx="8">
                  <c:v>Cold-Storage</c:v>
                </c:pt>
              </c:strCache>
            </c:strRef>
          </c:cat>
          <c:val>
            <c:numRef>
              <c:f>pivot_tables!$O$5:$O$14</c:f>
              <c:numCache>
                <c:formatCode>General</c:formatCode>
                <c:ptCount val="9"/>
                <c:pt idx="0">
                  <c:v>2</c:v>
                </c:pt>
                <c:pt idx="1">
                  <c:v>2</c:v>
                </c:pt>
                <c:pt idx="2">
                  <c:v>1</c:v>
                </c:pt>
                <c:pt idx="3">
                  <c:v>2</c:v>
                </c:pt>
                <c:pt idx="4">
                  <c:v>3</c:v>
                </c:pt>
                <c:pt idx="5">
                  <c:v>1</c:v>
                </c:pt>
                <c:pt idx="8">
                  <c:v>1</c:v>
                </c:pt>
              </c:numCache>
            </c:numRef>
          </c:val>
          <c:extLst>
            <c:ext xmlns:c16="http://schemas.microsoft.com/office/drawing/2014/chart" uri="{C3380CC4-5D6E-409C-BE32-E72D297353CC}">
              <c16:uniqueId val="{00000002-A486-452D-805A-EB5539C3812D}"/>
            </c:ext>
          </c:extLst>
        </c:ser>
        <c:ser>
          <c:idx val="3"/>
          <c:order val="3"/>
          <c:tx>
            <c:strRef>
              <c:f>pivot_tables!$P$3:$P$4</c:f>
              <c:strCache>
                <c:ptCount val="1"/>
                <c:pt idx="0">
                  <c:v>Out of Stock</c:v>
                </c:pt>
              </c:strCache>
            </c:strRef>
          </c:tx>
          <c:spPr>
            <a:solidFill>
              <a:schemeClr val="accent4"/>
            </a:solidFill>
            <a:ln>
              <a:noFill/>
            </a:ln>
            <a:effectLst/>
            <a:sp3d/>
          </c:spPr>
          <c:invertIfNegative val="0"/>
          <c:cat>
            <c:strRef>
              <c:f>pivot_tables!$L$5:$L$14</c:f>
              <c:strCache>
                <c:ptCount val="9"/>
                <c:pt idx="0">
                  <c:v>A1</c:v>
                </c:pt>
                <c:pt idx="1">
                  <c:v>A2</c:v>
                </c:pt>
                <c:pt idx="2">
                  <c:v>A3</c:v>
                </c:pt>
                <c:pt idx="3">
                  <c:v>B1</c:v>
                </c:pt>
                <c:pt idx="4">
                  <c:v>B2</c:v>
                </c:pt>
                <c:pt idx="5">
                  <c:v>B3</c:v>
                </c:pt>
                <c:pt idx="6">
                  <c:v>C1</c:v>
                </c:pt>
                <c:pt idx="7">
                  <c:v>C2</c:v>
                </c:pt>
                <c:pt idx="8">
                  <c:v>Cold-Storage</c:v>
                </c:pt>
              </c:strCache>
            </c:strRef>
          </c:cat>
          <c:val>
            <c:numRef>
              <c:f>pivot_tables!$P$5:$P$14</c:f>
              <c:numCache>
                <c:formatCode>General</c:formatCode>
                <c:ptCount val="9"/>
                <c:pt idx="0">
                  <c:v>1</c:v>
                </c:pt>
                <c:pt idx="4">
                  <c:v>1</c:v>
                </c:pt>
                <c:pt idx="5">
                  <c:v>1</c:v>
                </c:pt>
                <c:pt idx="8">
                  <c:v>2</c:v>
                </c:pt>
              </c:numCache>
            </c:numRef>
          </c:val>
          <c:extLst>
            <c:ext xmlns:c16="http://schemas.microsoft.com/office/drawing/2014/chart" uri="{C3380CC4-5D6E-409C-BE32-E72D297353CC}">
              <c16:uniqueId val="{00000003-A486-452D-805A-EB5539C3812D}"/>
            </c:ext>
          </c:extLst>
        </c:ser>
        <c:ser>
          <c:idx val="4"/>
          <c:order val="4"/>
          <c:tx>
            <c:strRef>
              <c:f>pivot_tables!$Q$3:$Q$4</c:f>
              <c:strCache>
                <c:ptCount val="1"/>
                <c:pt idx="0">
                  <c:v>Already expired</c:v>
                </c:pt>
              </c:strCache>
            </c:strRef>
          </c:tx>
          <c:spPr>
            <a:solidFill>
              <a:schemeClr val="accent5"/>
            </a:solidFill>
            <a:ln>
              <a:noFill/>
            </a:ln>
            <a:effectLst/>
            <a:sp3d/>
          </c:spPr>
          <c:invertIfNegative val="0"/>
          <c:cat>
            <c:strRef>
              <c:f>pivot_tables!$L$5:$L$14</c:f>
              <c:strCache>
                <c:ptCount val="9"/>
                <c:pt idx="0">
                  <c:v>A1</c:v>
                </c:pt>
                <c:pt idx="1">
                  <c:v>A2</c:v>
                </c:pt>
                <c:pt idx="2">
                  <c:v>A3</c:v>
                </c:pt>
                <c:pt idx="3">
                  <c:v>B1</c:v>
                </c:pt>
                <c:pt idx="4">
                  <c:v>B2</c:v>
                </c:pt>
                <c:pt idx="5">
                  <c:v>B3</c:v>
                </c:pt>
                <c:pt idx="6">
                  <c:v>C1</c:v>
                </c:pt>
                <c:pt idx="7">
                  <c:v>C2</c:v>
                </c:pt>
                <c:pt idx="8">
                  <c:v>Cold-Storage</c:v>
                </c:pt>
              </c:strCache>
            </c:strRef>
          </c:cat>
          <c:val>
            <c:numRef>
              <c:f>pivot_tables!$Q$5:$Q$14</c:f>
              <c:numCache>
                <c:formatCode>General</c:formatCode>
                <c:ptCount val="9"/>
                <c:pt idx="0">
                  <c:v>2</c:v>
                </c:pt>
                <c:pt idx="1">
                  <c:v>8</c:v>
                </c:pt>
                <c:pt idx="2">
                  <c:v>8</c:v>
                </c:pt>
                <c:pt idx="3">
                  <c:v>11</c:v>
                </c:pt>
                <c:pt idx="4">
                  <c:v>9</c:v>
                </c:pt>
                <c:pt idx="5">
                  <c:v>4</c:v>
                </c:pt>
                <c:pt idx="6">
                  <c:v>6</c:v>
                </c:pt>
                <c:pt idx="7">
                  <c:v>8</c:v>
                </c:pt>
                <c:pt idx="8">
                  <c:v>6</c:v>
                </c:pt>
              </c:numCache>
            </c:numRef>
          </c:val>
          <c:extLst>
            <c:ext xmlns:c16="http://schemas.microsoft.com/office/drawing/2014/chart" uri="{C3380CC4-5D6E-409C-BE32-E72D297353CC}">
              <c16:uniqueId val="{00000000-6067-401F-8CBE-E1A4D0603795}"/>
            </c:ext>
          </c:extLst>
        </c:ser>
        <c:dLbls>
          <c:showLegendKey val="0"/>
          <c:showVal val="0"/>
          <c:showCatName val="0"/>
          <c:showSerName val="0"/>
          <c:showPercent val="0"/>
          <c:showBubbleSize val="0"/>
        </c:dLbls>
        <c:gapWidth val="150"/>
        <c:shape val="box"/>
        <c:axId val="480959504"/>
        <c:axId val="480959984"/>
        <c:axId val="0"/>
      </c:bar3DChart>
      <c:catAx>
        <c:axId val="48095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59984"/>
        <c:crosses val="autoZero"/>
        <c:auto val="1"/>
        <c:lblAlgn val="ctr"/>
        <c:lblOffset val="100"/>
        <c:noMultiLvlLbl val="0"/>
      </c:catAx>
      <c:valAx>
        <c:axId val="48095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5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60960</xdr:colOff>
      <xdr:row>8</xdr:row>
      <xdr:rowOff>60960</xdr:rowOff>
    </xdr:from>
    <xdr:to>
      <xdr:col>14</xdr:col>
      <xdr:colOff>38100</xdr:colOff>
      <xdr:row>28</xdr:row>
      <xdr:rowOff>50800</xdr:rowOff>
    </xdr:to>
    <xdr:graphicFrame macro="">
      <xdr:nvGraphicFramePr>
        <xdr:cNvPr id="2" name="Chart 1">
          <a:extLst>
            <a:ext uri="{FF2B5EF4-FFF2-40B4-BE49-F238E27FC236}">
              <a16:creationId xmlns:a16="http://schemas.microsoft.com/office/drawing/2014/main" id="{2AA75E44-83DC-26A6-FFBE-DCD4308C9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235911</xdr:colOff>
      <xdr:row>35</xdr:row>
      <xdr:rowOff>166838</xdr:rowOff>
    </xdr:from>
    <xdr:to>
      <xdr:col>21</xdr:col>
      <xdr:colOff>491012</xdr:colOff>
      <xdr:row>43</xdr:row>
      <xdr:rowOff>114285</xdr:rowOff>
    </xdr:to>
    <mc:AlternateContent xmlns:mc="http://schemas.openxmlformats.org/markup-compatibility/2006">
      <mc:Choice xmlns:a14="http://schemas.microsoft.com/office/drawing/2010/main" Requires="a14">
        <xdr:graphicFrame macro="">
          <xdr:nvGraphicFramePr>
            <xdr:cNvPr id="5" name="warehouse_section">
              <a:extLst>
                <a:ext uri="{FF2B5EF4-FFF2-40B4-BE49-F238E27FC236}">
                  <a16:creationId xmlns:a16="http://schemas.microsoft.com/office/drawing/2014/main" id="{2D05C933-773A-83C1-64CC-BB013927FEB1}"/>
                </a:ext>
              </a:extLst>
            </xdr:cNvPr>
            <xdr:cNvGraphicFramePr/>
          </xdr:nvGraphicFramePr>
          <xdr:xfrm>
            <a:off x="0" y="0"/>
            <a:ext cx="0" cy="0"/>
          </xdr:xfrm>
          <a:graphic>
            <a:graphicData uri="http://schemas.microsoft.com/office/drawing/2010/slicer">
              <sle:slicer xmlns:sle="http://schemas.microsoft.com/office/drawing/2010/slicer" name="warehouse_section"/>
            </a:graphicData>
          </a:graphic>
        </xdr:graphicFrame>
      </mc:Choice>
      <mc:Fallback>
        <xdr:sp macro="" textlink="">
          <xdr:nvSpPr>
            <xdr:cNvPr id="0" name=""/>
            <xdr:cNvSpPr>
              <a:spLocks noTextEdit="1"/>
            </xdr:cNvSpPr>
          </xdr:nvSpPr>
          <xdr:spPr>
            <a:xfrm>
              <a:off x="21209054" y="6879695"/>
              <a:ext cx="2250815" cy="1398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175026</xdr:colOff>
      <xdr:row>21</xdr:row>
      <xdr:rowOff>44005</xdr:rowOff>
    </xdr:from>
    <xdr:to>
      <xdr:col>21</xdr:col>
      <xdr:colOff>426747</xdr:colOff>
      <xdr:row>35</xdr:row>
      <xdr:rowOff>159</xdr:rowOff>
    </xdr:to>
    <mc:AlternateContent xmlns:mc="http://schemas.openxmlformats.org/markup-compatibility/2006">
      <mc:Choice xmlns:a14="http://schemas.microsoft.com/office/drawing/2010/main" Requires="a14">
        <xdr:graphicFrame macro="">
          <xdr:nvGraphicFramePr>
            <xdr:cNvPr id="6" name="supplier_name">
              <a:extLst>
                <a:ext uri="{FF2B5EF4-FFF2-40B4-BE49-F238E27FC236}">
                  <a16:creationId xmlns:a16="http://schemas.microsoft.com/office/drawing/2014/main" id="{DAC1E42E-8A11-116B-9F90-0F21E290C171}"/>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dr:sp macro="" textlink="">
          <xdr:nvSpPr>
            <xdr:cNvPr id="0" name=""/>
            <xdr:cNvSpPr>
              <a:spLocks noTextEdit="1"/>
            </xdr:cNvSpPr>
          </xdr:nvSpPr>
          <xdr:spPr>
            <a:xfrm>
              <a:off x="21148169" y="4095910"/>
              <a:ext cx="2247435" cy="2617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164292</xdr:colOff>
      <xdr:row>13</xdr:row>
      <xdr:rowOff>93319</xdr:rowOff>
    </xdr:from>
    <xdr:to>
      <xdr:col>21</xdr:col>
      <xdr:colOff>404427</xdr:colOff>
      <xdr:row>20</xdr:row>
      <xdr:rowOff>141219</xdr:rowOff>
    </xdr:to>
    <mc:AlternateContent xmlns:mc="http://schemas.openxmlformats.org/markup-compatibility/2006">
      <mc:Choice xmlns:a14="http://schemas.microsoft.com/office/drawing/2010/main" Requires="a14">
        <xdr:graphicFrame macro="">
          <xdr:nvGraphicFramePr>
            <xdr:cNvPr id="7" name="stock_status">
              <a:extLst>
                <a:ext uri="{FF2B5EF4-FFF2-40B4-BE49-F238E27FC236}">
                  <a16:creationId xmlns:a16="http://schemas.microsoft.com/office/drawing/2014/main" id="{257F270E-4B65-D06C-A0E0-79F178619D73}"/>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21137435" y="2572843"/>
              <a:ext cx="2235849" cy="1438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166816</xdr:colOff>
      <xdr:row>0</xdr:row>
      <xdr:rowOff>51547</xdr:rowOff>
    </xdr:from>
    <xdr:to>
      <xdr:col>21</xdr:col>
      <xdr:colOff>414875</xdr:colOff>
      <xdr:row>13</xdr:row>
      <xdr:rowOff>43896</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855CCC04-42E1-7E26-19B3-ED5B9A622C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139959" y="51547"/>
              <a:ext cx="2243773" cy="2471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317565</xdr:colOff>
      <xdr:row>9</xdr:row>
      <xdr:rowOff>32376</xdr:rowOff>
    </xdr:from>
    <xdr:to>
      <xdr:col>4</xdr:col>
      <xdr:colOff>1369474</xdr:colOff>
      <xdr:row>27</xdr:row>
      <xdr:rowOff>155831</xdr:rowOff>
    </xdr:to>
    <xdr:graphicFrame macro="">
      <xdr:nvGraphicFramePr>
        <xdr:cNvPr id="2" name="Chart 1">
          <a:extLst>
            <a:ext uri="{FF2B5EF4-FFF2-40B4-BE49-F238E27FC236}">
              <a16:creationId xmlns:a16="http://schemas.microsoft.com/office/drawing/2014/main" id="{7F78F822-A2D1-F258-3BBB-B549840D8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157976</xdr:colOff>
      <xdr:row>29</xdr:row>
      <xdr:rowOff>55757</xdr:rowOff>
    </xdr:from>
    <xdr:to>
      <xdr:col>10</xdr:col>
      <xdr:colOff>250903</xdr:colOff>
      <xdr:row>44</xdr:row>
      <xdr:rowOff>5576</xdr:rowOff>
    </xdr:to>
    <xdr:graphicFrame macro="">
      <xdr:nvGraphicFramePr>
        <xdr:cNvPr id="3" name="Chart 2">
          <a:extLst>
            <a:ext uri="{FF2B5EF4-FFF2-40B4-BE49-F238E27FC236}">
              <a16:creationId xmlns:a16="http://schemas.microsoft.com/office/drawing/2014/main" id="{5F6505DB-7547-13C7-9935-C3DD7AD90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SHA" refreshedDate="46080.456125115743" createdVersion="8" refreshedVersion="8" minRefreshableVersion="3" recordCount="100" xr:uid="{D17D7720-25E9-4155-9497-8159BE5CAA95}">
  <cacheSource type="worksheet">
    <worksheetSource name="tbl_inventory"/>
  </cacheSource>
  <cacheFields count="17">
    <cacheField name="medicine_id" numFmtId="0">
      <sharedItems/>
    </cacheField>
    <cacheField name="medicine_name" numFmtId="0">
      <sharedItems/>
    </cacheField>
    <cacheField name="generic_name" numFmtId="0">
      <sharedItems/>
    </cacheField>
    <cacheField name="category" numFmtId="0">
      <sharedItems count="24">
        <s v="Cholesterol"/>
        <s v="Antibiotic"/>
        <s v="Diuretic"/>
        <s v="Supplement"/>
        <s v="Anticoagulant"/>
        <s v="Vitamin"/>
        <s v="Painkiller"/>
        <s v="Antihypertensive"/>
        <s v="Antacid"/>
        <s v="NSAID"/>
        <s v="Antifungal"/>
        <s v="Opioid Analgesic"/>
        <s v="Antidiabetic"/>
        <s v="Antiemetic"/>
        <s v="Cough Suppressant"/>
        <s v="Antiplatelet"/>
        <s v="Corticosteroid"/>
        <s v="Bronchodilator"/>
        <s v="Antidepressant"/>
        <s v="Anxiolytic"/>
        <s v="Electrolyte"/>
        <s v="Anticonvulsant"/>
        <s v="Cardiac Glycoside"/>
        <s v="Antihistamine"/>
      </sharedItems>
    </cacheField>
    <cacheField name="dosage_form" numFmtId="0">
      <sharedItems/>
    </cacheField>
    <cacheField name="unit_price" numFmtId="168">
      <sharedItems containsSemiMixedTypes="0" containsString="0" containsNumber="1" minValue="3.5" maxValue="280"/>
    </cacheField>
    <cacheField name="batch_number" numFmtId="0">
      <sharedItems/>
    </cacheField>
    <cacheField name="quantity_in_stock" numFmtId="3">
      <sharedItems containsSemiMixedTypes="0" containsString="0" containsNumber="1" containsInteger="1" minValue="0" maxValue="496"/>
    </cacheField>
    <cacheField name="reorder_level" numFmtId="0">
      <sharedItems containsSemiMixedTypes="0" containsString="0" containsNumber="1" containsInteger="1" minValue="21" maxValue="80"/>
    </cacheField>
    <cacheField name="reorder_quantity" numFmtId="0">
      <sharedItems containsSemiMixedTypes="0" containsString="0" containsNumber="1" containsInteger="1" minValue="103" maxValue="399"/>
    </cacheField>
    <cacheField name="expiry_date" numFmtId="164">
      <sharedItems containsSemiMixedTypes="0" containsNonDate="0" containsDate="1" containsString="0" minDate="2023-01-08T00:00:00" maxDate="2027-05-28T00:00:00"/>
    </cacheField>
    <cacheField name="days_to_expiry" numFmtId="0">
      <sharedItems containsSemiMixedTypes="0" containsString="0" containsNumber="1" containsInteger="1" minValue="-1144" maxValue="456"/>
    </cacheField>
    <cacheField name="warehouse_section" numFmtId="0">
      <sharedItems count="9">
        <s v="B3"/>
        <s v="A2"/>
        <s v="B1"/>
        <s v="A3"/>
        <s v="A1"/>
        <s v="C2"/>
        <s v="C1"/>
        <s v="Cold-Storage"/>
        <s v="B2"/>
      </sharedItems>
    </cacheField>
    <cacheField name="supplier_name" numFmtId="0">
      <sharedItems count="10">
        <s v="Sun Pharma Distributors"/>
        <s v="Cipla Medical Supplies"/>
        <s v="Dr. Reddy's Logistics"/>
        <s v="Abbott HealthCare"/>
        <s v="Pfizer India Ltd"/>
        <s v="Lupin Pharmaceuticals"/>
        <s v="Mankind Pharma"/>
        <s v="Alkem Laboratories"/>
        <s v="Torrent Pharma"/>
        <s v="Biocon Biologics"/>
      </sharedItems>
    </cacheField>
    <cacheField name="lead_time_days" numFmtId="0">
      <sharedItems containsSemiMixedTypes="0" containsString="0" containsNumber="1" containsInteger="1" minValue="3" maxValue="10"/>
    </cacheField>
    <cacheField name="current_stock_value" numFmtId="165">
      <sharedItems containsSemiMixedTypes="0" containsString="0" containsNumber="1" minValue="0" maxValue="94360"/>
    </cacheField>
    <cacheField name="stock_status" numFmtId="0">
      <sharedItems count="5">
        <s v="Out of Stock"/>
        <s v="Already expired"/>
        <s v="Low Stock"/>
        <s v="Expiring Soon"/>
        <s v="Healthy"/>
      </sharedItems>
    </cacheField>
  </cacheFields>
  <extLst>
    <ext xmlns:x14="http://schemas.microsoft.com/office/spreadsheetml/2009/9/main" uri="{725AE2AE-9491-48be-B2B4-4EB974FC3084}">
      <x14:pivotCacheDefinition pivotCacheId="2027298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ED004"/>
    <s v="Atorvastatin 10mg Tablets"/>
    <s v="Atorvastatin"/>
    <x v="0"/>
    <s v="Tablet"/>
    <n v="15"/>
    <s v="BCH30926"/>
    <n v="0"/>
    <n v="29"/>
    <n v="210"/>
    <d v="2026-04-18T00:00:00"/>
    <n v="52"/>
    <x v="0"/>
    <x v="0"/>
    <n v="5"/>
    <n v="0"/>
    <x v="0"/>
  </r>
  <r>
    <s v="MED015"/>
    <s v="Ciprofloxacin 500mg Tablets"/>
    <s v="Ciprofloxacin"/>
    <x v="1"/>
    <s v="Tablet"/>
    <n v="18"/>
    <s v="BCH24371"/>
    <n v="405"/>
    <n v="63"/>
    <n v="316"/>
    <d v="2023-12-06T00:00:00"/>
    <n v="-812"/>
    <x v="1"/>
    <x v="0"/>
    <n v="5"/>
    <n v="7290"/>
    <x v="1"/>
  </r>
  <r>
    <s v="MED032"/>
    <s v="Furosemide 40mg Tablets"/>
    <s v="Furosemide"/>
    <x v="2"/>
    <s v="Tablet"/>
    <n v="5.5"/>
    <s v="BCH62772"/>
    <n v="409"/>
    <n v="75"/>
    <n v="155"/>
    <d v="2026-01-15T00:00:00"/>
    <n v="-41"/>
    <x v="2"/>
    <x v="0"/>
    <n v="5"/>
    <n v="2249.5"/>
    <x v="1"/>
  </r>
  <r>
    <s v="MED035"/>
    <s v="Iron Supplement 200mg"/>
    <s v="Ferrous Sulphate"/>
    <x v="3"/>
    <s v="Tablet"/>
    <n v="4.5"/>
    <s v="BCH95477"/>
    <n v="496"/>
    <n v="25"/>
    <n v="221"/>
    <d v="2024-07-07T00:00:00"/>
    <n v="-598"/>
    <x v="3"/>
    <x v="0"/>
    <n v="5"/>
    <n v="2232"/>
    <x v="1"/>
  </r>
  <r>
    <s v="MED039"/>
    <s v="Levofloxacin 500mg Tablets"/>
    <s v="Levofloxacin"/>
    <x v="1"/>
    <s v="Tablet"/>
    <n v="28"/>
    <s v="BCH85914"/>
    <n v="31"/>
    <n v="67"/>
    <n v="260"/>
    <d v="2027-01-23T00:00:00"/>
    <n v="332"/>
    <x v="4"/>
    <x v="0"/>
    <n v="5"/>
    <n v="868"/>
    <x v="2"/>
  </r>
  <r>
    <s v="MED040"/>
    <s v="Warfarin 5mg Tablets"/>
    <s v="Warfarin"/>
    <x v="4"/>
    <s v="Tablet"/>
    <n v="18"/>
    <s v="BCH86569"/>
    <n v="470"/>
    <n v="74"/>
    <n v="371"/>
    <d v="2026-05-03T00:00:00"/>
    <n v="67"/>
    <x v="3"/>
    <x v="0"/>
    <n v="5"/>
    <n v="8460"/>
    <x v="3"/>
  </r>
  <r>
    <s v="MED041"/>
    <s v="Multivitamin Syrup 200ml"/>
    <s v="Multivitamin"/>
    <x v="5"/>
    <s v="Syrup"/>
    <n v="55"/>
    <s v="BCH76562"/>
    <n v="35"/>
    <n v="58"/>
    <n v="134"/>
    <d v="2023-09-23T00:00:00"/>
    <n v="-886"/>
    <x v="2"/>
    <x v="0"/>
    <n v="5"/>
    <n v="1925"/>
    <x v="2"/>
  </r>
  <r>
    <s v="MED002"/>
    <s v="Paracetamol 500mg Tablets"/>
    <s v="Paracetamol"/>
    <x v="6"/>
    <s v="Tablet"/>
    <n v="5"/>
    <s v="BCH10464"/>
    <n v="326"/>
    <n v="36"/>
    <n v="182"/>
    <d v="2024-06-08T00:00:00"/>
    <n v="-627"/>
    <x v="5"/>
    <x v="0"/>
    <n v="5"/>
    <n v="1630"/>
    <x v="1"/>
  </r>
  <r>
    <s v="MED004"/>
    <s v="Atorvastatin 10mg Tablets"/>
    <s v="Atorvastatin"/>
    <x v="0"/>
    <s v="Tablet"/>
    <n v="15"/>
    <s v="BCH58393"/>
    <n v="75"/>
    <n v="47"/>
    <n v="165"/>
    <d v="2026-08-19T00:00:00"/>
    <n v="175"/>
    <x v="4"/>
    <x v="0"/>
    <n v="5"/>
    <n v="1125"/>
    <x v="4"/>
  </r>
  <r>
    <s v="MED009"/>
    <s v="Amlodipine 5mg Tablets"/>
    <s v="Amlodipine"/>
    <x v="7"/>
    <s v="Tablet"/>
    <n v="11"/>
    <s v="BCH71694"/>
    <n v="418"/>
    <n v="78"/>
    <n v="335"/>
    <d v="2024-02-15T00:00:00"/>
    <n v="-741"/>
    <x v="0"/>
    <x v="0"/>
    <n v="5"/>
    <n v="4598"/>
    <x v="1"/>
  </r>
  <r>
    <s v="MED013"/>
    <s v="Pantoprazole 40mg Tablets"/>
    <s v="Pantoprazole"/>
    <x v="8"/>
    <s v="Tablet"/>
    <n v="10.5"/>
    <s v="BCH24208"/>
    <n v="176"/>
    <n v="66"/>
    <n v="260"/>
    <d v="2026-03-03T00:00:00"/>
    <n v="6"/>
    <x v="6"/>
    <x v="0"/>
    <n v="5"/>
    <n v="1848"/>
    <x v="3"/>
  </r>
  <r>
    <s v="MED015"/>
    <s v="Ciprofloxacin 500mg Tablets"/>
    <s v="Ciprofloxacin"/>
    <x v="1"/>
    <s v="Tablet"/>
    <n v="18"/>
    <s v="BCH67154"/>
    <n v="473"/>
    <n v="71"/>
    <n v="375"/>
    <d v="2025-01-01T00:00:00"/>
    <n v="-420"/>
    <x v="2"/>
    <x v="0"/>
    <n v="5"/>
    <n v="8514"/>
    <x v="1"/>
  </r>
  <r>
    <s v="MED001"/>
    <s v="Amoxicillin 500mg Capsules"/>
    <s v="Amoxicillin"/>
    <x v="1"/>
    <s v="Capsule"/>
    <n v="12.5"/>
    <s v="BCH13278"/>
    <n v="0"/>
    <n v="28"/>
    <n v="152"/>
    <d v="2026-04-06T00:00:00"/>
    <n v="40"/>
    <x v="7"/>
    <x v="1"/>
    <n v="4"/>
    <n v="0"/>
    <x v="0"/>
  </r>
  <r>
    <s v="MED002"/>
    <s v="Paracetamol 500mg Tablets"/>
    <s v="Paracetamol"/>
    <x v="6"/>
    <s v="Tablet"/>
    <n v="5"/>
    <s v="BCH87397"/>
    <n v="0"/>
    <n v="33"/>
    <n v="219"/>
    <d v="2026-03-09T00:00:00"/>
    <n v="12"/>
    <x v="7"/>
    <x v="1"/>
    <n v="4"/>
    <n v="0"/>
    <x v="0"/>
  </r>
  <r>
    <s v="MED005"/>
    <s v="Omeprazole 20mg Capsules"/>
    <s v="Omeprazole"/>
    <x v="8"/>
    <s v="Capsule"/>
    <n v="9"/>
    <s v="BCH22156"/>
    <n v="0"/>
    <n v="42"/>
    <n v="235"/>
    <d v="2026-04-20T00:00:00"/>
    <n v="54"/>
    <x v="4"/>
    <x v="1"/>
    <n v="4"/>
    <n v="0"/>
    <x v="0"/>
  </r>
  <r>
    <s v="MED007"/>
    <s v="Ibuprofen 400mg Tablets"/>
    <s v="Ibuprofen"/>
    <x v="9"/>
    <s v="Tablet"/>
    <n v="6.5"/>
    <s v="BCH16006"/>
    <n v="40"/>
    <n v="74"/>
    <n v="219"/>
    <d v="2026-04-12T00:00:00"/>
    <n v="46"/>
    <x v="1"/>
    <x v="1"/>
    <n v="4"/>
    <n v="260"/>
    <x v="2"/>
  </r>
  <r>
    <s v="MED009"/>
    <s v="Amlodipine 5mg Tablets"/>
    <s v="Amlodipine"/>
    <x v="7"/>
    <s v="Tablet"/>
    <n v="11"/>
    <s v="BCH89840"/>
    <n v="273"/>
    <n v="66"/>
    <n v="225"/>
    <d v="2025-04-13T00:00:00"/>
    <n v="-318"/>
    <x v="3"/>
    <x v="1"/>
    <n v="4"/>
    <n v="3003"/>
    <x v="1"/>
  </r>
  <r>
    <s v="MED017"/>
    <s v="Fluconazole 150mg Capsules"/>
    <s v="Fluconazole"/>
    <x v="10"/>
    <s v="Capsule"/>
    <n v="25"/>
    <s v="BCH99353"/>
    <n v="393"/>
    <n v="61"/>
    <n v="274"/>
    <d v="2025-07-03T00:00:00"/>
    <n v="-237"/>
    <x v="1"/>
    <x v="1"/>
    <n v="4"/>
    <n v="9825"/>
    <x v="1"/>
  </r>
  <r>
    <s v="MED023"/>
    <s v="Metronidazole 400mg Tablets"/>
    <s v="Metronidazole"/>
    <x v="1"/>
    <s v="Tablet"/>
    <n v="7.5"/>
    <s v="BCH79822"/>
    <n v="65"/>
    <n v="62"/>
    <n v="343"/>
    <d v="2025-08-25T00:00:00"/>
    <n v="-184"/>
    <x v="7"/>
    <x v="1"/>
    <n v="4"/>
    <n v="487.5"/>
    <x v="1"/>
  </r>
  <r>
    <s v="MED026"/>
    <s v="Tramadol 50mg Capsules"/>
    <s v="Tramadol"/>
    <x v="11"/>
    <s v="Capsule"/>
    <n v="30"/>
    <s v="BCH42493"/>
    <n v="173"/>
    <n v="21"/>
    <n v="383"/>
    <d v="2023-08-19T00:00:00"/>
    <n v="-921"/>
    <x v="2"/>
    <x v="1"/>
    <n v="4"/>
    <n v="5190"/>
    <x v="1"/>
  </r>
  <r>
    <s v="MED028"/>
    <s v="Glibenclamide 5mg Tablets"/>
    <s v="Glibenclamide"/>
    <x v="12"/>
    <s v="Tablet"/>
    <n v="7"/>
    <s v="BCH14117"/>
    <n v="36"/>
    <n v="52"/>
    <n v="221"/>
    <d v="2026-05-30T00:00:00"/>
    <n v="94"/>
    <x v="8"/>
    <x v="1"/>
    <n v="4"/>
    <n v="252"/>
    <x v="2"/>
  </r>
  <r>
    <s v="MED049"/>
    <s v="Eye Drops Ciprofloxacin 0.3%"/>
    <s v="Ciprofloxacin"/>
    <x v="1"/>
    <s v="Eye Drops"/>
    <n v="35"/>
    <s v="BCH27601"/>
    <n v="455"/>
    <n v="26"/>
    <n v="383"/>
    <d v="2023-09-28T00:00:00"/>
    <n v="-881"/>
    <x v="3"/>
    <x v="1"/>
    <n v="4"/>
    <n v="15925"/>
    <x v="1"/>
  </r>
  <r>
    <s v="MED006"/>
    <s v="Azithromycin 250mg Tablets"/>
    <s v="Azithromycin"/>
    <x v="1"/>
    <s v="Tablet"/>
    <n v="22"/>
    <s v="BCH56357"/>
    <n v="452"/>
    <n v="75"/>
    <n v="308"/>
    <d v="2027-03-09T00:00:00"/>
    <n v="377"/>
    <x v="3"/>
    <x v="1"/>
    <n v="4"/>
    <n v="9944"/>
    <x v="4"/>
  </r>
  <r>
    <s v="MED027"/>
    <s v="Ondansetron 4mg Tablets"/>
    <s v="Ondansetron"/>
    <x v="13"/>
    <s v="Tablet"/>
    <n v="16"/>
    <s v="BCH69829"/>
    <n v="341"/>
    <n v="53"/>
    <n v="386"/>
    <d v="2024-11-14T00:00:00"/>
    <n v="-468"/>
    <x v="0"/>
    <x v="1"/>
    <n v="4"/>
    <n v="5456"/>
    <x v="1"/>
  </r>
  <r>
    <s v="MED041"/>
    <s v="Multivitamin Syrup 200ml"/>
    <s v="Multivitamin"/>
    <x v="5"/>
    <s v="Syrup"/>
    <n v="55"/>
    <s v="BCH71644"/>
    <n v="26"/>
    <n v="80"/>
    <n v="279"/>
    <d v="2025-01-19T00:00:00"/>
    <n v="-402"/>
    <x v="2"/>
    <x v="1"/>
    <n v="4"/>
    <n v="1430"/>
    <x v="2"/>
  </r>
  <r>
    <s v="MED042"/>
    <s v="Cough Syrup 100ml"/>
    <s v="Dextromethorphan"/>
    <x v="14"/>
    <s v="Syrup"/>
    <n v="38"/>
    <s v="BCH95426"/>
    <n v="486"/>
    <n v="35"/>
    <n v="202"/>
    <d v="2023-02-11T00:00:00"/>
    <n v="-1110"/>
    <x v="4"/>
    <x v="1"/>
    <n v="4"/>
    <n v="18468"/>
    <x v="1"/>
  </r>
  <r>
    <s v="MED019"/>
    <s v="Ranitidine 150mg Tablets"/>
    <s v="Ranitidine"/>
    <x v="8"/>
    <s v="Tablet"/>
    <n v="6"/>
    <s v="BCH76542"/>
    <n v="430"/>
    <n v="60"/>
    <n v="359"/>
    <d v="2024-04-18T00:00:00"/>
    <n v="-678"/>
    <x v="2"/>
    <x v="2"/>
    <n v="6"/>
    <n v="2580"/>
    <x v="1"/>
  </r>
  <r>
    <s v="MED020"/>
    <s v="Clopidogrel 75mg Tablets"/>
    <s v="Clopidogrel"/>
    <x v="15"/>
    <s v="Tablet"/>
    <n v="20"/>
    <s v="BCH59009"/>
    <n v="276"/>
    <n v="69"/>
    <n v="371"/>
    <d v="2025-08-21T00:00:00"/>
    <n v="-188"/>
    <x v="4"/>
    <x v="2"/>
    <n v="6"/>
    <n v="5520"/>
    <x v="1"/>
  </r>
  <r>
    <s v="MED024"/>
    <s v="Prednisolone 5mg Tablets"/>
    <s v="Prednisolone"/>
    <x v="16"/>
    <s v="Tablet"/>
    <n v="11.5"/>
    <s v="BCH44741"/>
    <n v="216"/>
    <n v="33"/>
    <n v="376"/>
    <d v="2026-06-24T00:00:00"/>
    <n v="119"/>
    <x v="2"/>
    <x v="2"/>
    <n v="6"/>
    <n v="2484"/>
    <x v="4"/>
  </r>
  <r>
    <s v="MED018"/>
    <s v="Dexamethasone 4mg Injection"/>
    <s v="Dexamethasone"/>
    <x v="16"/>
    <s v="Injection"/>
    <n v="35"/>
    <s v="BCH35144"/>
    <n v="346"/>
    <n v="67"/>
    <n v="189"/>
    <d v="2025-09-04T00:00:00"/>
    <n v="-174"/>
    <x v="8"/>
    <x v="2"/>
    <n v="6"/>
    <n v="12110"/>
    <x v="1"/>
  </r>
  <r>
    <s v="MED023"/>
    <s v="Metronidazole 400mg Tablets"/>
    <s v="Metronidazole"/>
    <x v="1"/>
    <s v="Tablet"/>
    <n v="7.5"/>
    <s v="BCH13201"/>
    <n v="243"/>
    <n v="59"/>
    <n v="137"/>
    <d v="2023-08-19T00:00:00"/>
    <n v="-921"/>
    <x v="5"/>
    <x v="2"/>
    <n v="6"/>
    <n v="1822.5"/>
    <x v="1"/>
  </r>
  <r>
    <s v="MED029"/>
    <s v="Ceftriaxone 1g Injection"/>
    <s v="Ceftriaxone"/>
    <x v="1"/>
    <s v="Injection"/>
    <n v="85"/>
    <s v="BCH72216"/>
    <n v="384"/>
    <n v="35"/>
    <n v="241"/>
    <d v="2025-04-05T00:00:00"/>
    <n v="-326"/>
    <x v="7"/>
    <x v="2"/>
    <n v="6"/>
    <n v="32640"/>
    <x v="1"/>
  </r>
  <r>
    <s v="MED011"/>
    <s v="Salbutamol Inhaler 100mcg"/>
    <s v="Salbutamol"/>
    <x v="17"/>
    <s v="Inhaler"/>
    <n v="45"/>
    <s v="BCH14207"/>
    <n v="205"/>
    <n v="37"/>
    <n v="133"/>
    <d v="2026-04-04T00:00:00"/>
    <n v="38"/>
    <x v="2"/>
    <x v="3"/>
    <n v="7"/>
    <n v="9225"/>
    <x v="3"/>
  </r>
  <r>
    <s v="MED022"/>
    <s v="Amitriptyline 25mg Tablets"/>
    <s v="Amitriptyline"/>
    <x v="18"/>
    <s v="Tablet"/>
    <n v="9.5"/>
    <s v="BCH17592"/>
    <n v="484"/>
    <n v="25"/>
    <n v="143"/>
    <d v="2025-09-03T00:00:00"/>
    <n v="-175"/>
    <x v="5"/>
    <x v="3"/>
    <n v="7"/>
    <n v="4598"/>
    <x v="1"/>
  </r>
  <r>
    <s v="MED030"/>
    <s v="Aspirin 75mg Tablets"/>
    <s v="Aspirin"/>
    <x v="15"/>
    <s v="Tablet"/>
    <n v="4"/>
    <s v="BCH71993"/>
    <n v="97"/>
    <n v="26"/>
    <n v="149"/>
    <d v="2026-10-05T00:00:00"/>
    <n v="222"/>
    <x v="6"/>
    <x v="3"/>
    <n v="7"/>
    <n v="388"/>
    <x v="4"/>
  </r>
  <r>
    <s v="MED033"/>
    <s v="Diazepam 5mg Tablets"/>
    <s v="Diazepam"/>
    <x v="19"/>
    <s v="Tablet"/>
    <n v="12"/>
    <s v="BCH34931"/>
    <n v="71"/>
    <n v="47"/>
    <n v="193"/>
    <d v="2026-01-01T00:00:00"/>
    <n v="-55"/>
    <x v="8"/>
    <x v="3"/>
    <n v="7"/>
    <n v="852"/>
    <x v="1"/>
  </r>
  <r>
    <s v="MED047"/>
    <s v="Hydrocortisone Cream 1%"/>
    <s v="Hydrocortisone"/>
    <x v="16"/>
    <s v="Cream"/>
    <n v="28"/>
    <s v="BCH58434"/>
    <n v="224"/>
    <n v="73"/>
    <n v="378"/>
    <d v="2024-04-19T00:00:00"/>
    <n v="-677"/>
    <x v="8"/>
    <x v="3"/>
    <n v="7"/>
    <n v="6272"/>
    <x v="1"/>
  </r>
  <r>
    <s v="MED007"/>
    <s v="Ibuprofen 400mg Tablets"/>
    <s v="Ibuprofen"/>
    <x v="9"/>
    <s v="Tablet"/>
    <n v="6.5"/>
    <s v="BCH31299"/>
    <n v="451"/>
    <n v="46"/>
    <n v="112"/>
    <d v="2025-09-29T00:00:00"/>
    <n v="-149"/>
    <x v="3"/>
    <x v="3"/>
    <n v="7"/>
    <n v="2931.5"/>
    <x v="1"/>
  </r>
  <r>
    <s v="MED026"/>
    <s v="Tramadol 50mg Capsules"/>
    <s v="Tramadol"/>
    <x v="11"/>
    <s v="Capsule"/>
    <n v="30"/>
    <s v="BCH33053"/>
    <n v="237"/>
    <n v="23"/>
    <n v="385"/>
    <d v="2027-04-03T00:00:00"/>
    <n v="402"/>
    <x v="2"/>
    <x v="3"/>
    <n v="7"/>
    <n v="7110"/>
    <x v="4"/>
  </r>
  <r>
    <s v="MED013"/>
    <s v="Pantoprazole 40mg Tablets"/>
    <s v="Pantoprazole"/>
    <x v="8"/>
    <s v="Tablet"/>
    <n v="10.5"/>
    <s v="BCH28301"/>
    <n v="275"/>
    <n v="36"/>
    <n v="399"/>
    <d v="2025-09-09T00:00:00"/>
    <n v="-169"/>
    <x v="6"/>
    <x v="4"/>
    <n v="8"/>
    <n v="2887.5"/>
    <x v="1"/>
  </r>
  <r>
    <s v="MED018"/>
    <s v="Dexamethasone 4mg Injection"/>
    <s v="Dexamethasone"/>
    <x v="16"/>
    <s v="Injection"/>
    <n v="35"/>
    <s v="BCH66985"/>
    <n v="1"/>
    <n v="66"/>
    <n v="234"/>
    <d v="2024-12-09T00:00:00"/>
    <n v="-443"/>
    <x v="7"/>
    <x v="4"/>
    <n v="8"/>
    <n v="35"/>
    <x v="2"/>
  </r>
  <r>
    <s v="MED025"/>
    <s v="Folic Acid 5mg Tablets"/>
    <s v="Folic Acid"/>
    <x v="5"/>
    <s v="Tablet"/>
    <n v="3.5"/>
    <s v="BCH62296"/>
    <n v="224"/>
    <n v="77"/>
    <n v="364"/>
    <d v="2025-11-18T00:00:00"/>
    <n v="-99"/>
    <x v="5"/>
    <x v="4"/>
    <n v="8"/>
    <n v="784"/>
    <x v="1"/>
  </r>
  <r>
    <s v="MED050"/>
    <s v="Oral Rehydration Salts"/>
    <s v="ORS"/>
    <x v="20"/>
    <s v="Powder"/>
    <n v="3.5"/>
    <s v="BCH46930"/>
    <n v="367"/>
    <n v="41"/>
    <n v="204"/>
    <d v="2025-03-13T00:00:00"/>
    <n v="-349"/>
    <x v="8"/>
    <x v="4"/>
    <n v="8"/>
    <n v="1284.5"/>
    <x v="1"/>
  </r>
  <r>
    <s v="MED005"/>
    <s v="Omeprazole 20mg Capsules"/>
    <s v="Omeprazole"/>
    <x v="8"/>
    <s v="Capsule"/>
    <n v="9"/>
    <s v="BCH57795"/>
    <n v="460"/>
    <n v="42"/>
    <n v="207"/>
    <d v="2025-03-26T00:00:00"/>
    <n v="-336"/>
    <x v="2"/>
    <x v="4"/>
    <n v="8"/>
    <n v="4140"/>
    <x v="1"/>
  </r>
  <r>
    <s v="MED010"/>
    <s v="Insulin Glargine 100U/ml"/>
    <s v="Insulin Glargine"/>
    <x v="12"/>
    <s v="Injection"/>
    <n v="280"/>
    <s v="BCH39831"/>
    <n v="337"/>
    <n v="32"/>
    <n v="304"/>
    <d v="2023-08-17T00:00:00"/>
    <n v="-923"/>
    <x v="7"/>
    <x v="4"/>
    <n v="8"/>
    <n v="94360"/>
    <x v="1"/>
  </r>
  <r>
    <s v="MED011"/>
    <s v="Salbutamol Inhaler 100mcg"/>
    <s v="Salbutamol"/>
    <x v="17"/>
    <s v="Inhaler"/>
    <n v="45"/>
    <s v="BCH19099"/>
    <n v="179"/>
    <n v="61"/>
    <n v="360"/>
    <d v="2026-03-02T00:00:00"/>
    <n v="5"/>
    <x v="6"/>
    <x v="4"/>
    <n v="8"/>
    <n v="8055"/>
    <x v="3"/>
  </r>
  <r>
    <s v="MED031"/>
    <s v="Erythromycin 500mg Tablets"/>
    <s v="Erythromycin"/>
    <x v="1"/>
    <s v="Tablet"/>
    <n v="19"/>
    <s v="BCH54020"/>
    <n v="41"/>
    <n v="28"/>
    <n v="177"/>
    <d v="2025-11-23T00:00:00"/>
    <n v="-94"/>
    <x v="2"/>
    <x v="4"/>
    <n v="8"/>
    <n v="779"/>
    <x v="1"/>
  </r>
  <r>
    <s v="MED035"/>
    <s v="Iron Supplement 200mg"/>
    <s v="Ferrous Sulphate"/>
    <x v="3"/>
    <s v="Tablet"/>
    <n v="4.5"/>
    <s v="BCH61116"/>
    <n v="275"/>
    <n v="67"/>
    <n v="379"/>
    <d v="2026-11-21T00:00:00"/>
    <n v="269"/>
    <x v="2"/>
    <x v="4"/>
    <n v="8"/>
    <n v="1237.5"/>
    <x v="4"/>
  </r>
  <r>
    <s v="MED045"/>
    <s v="Phenytoin 100mg Tablets"/>
    <s v="Phenytoin"/>
    <x v="21"/>
    <s v="Tablet"/>
    <n v="10"/>
    <s v="BCH24168"/>
    <n v="475"/>
    <n v="39"/>
    <n v="394"/>
    <d v="2024-08-15T00:00:00"/>
    <n v="-559"/>
    <x v="6"/>
    <x v="4"/>
    <n v="8"/>
    <n v="4750"/>
    <x v="1"/>
  </r>
  <r>
    <s v="MED047"/>
    <s v="Hydrocortisone Cream 1%"/>
    <s v="Hydrocortisone"/>
    <x v="16"/>
    <s v="Cream"/>
    <n v="28"/>
    <s v="BCH99687"/>
    <n v="407"/>
    <n v="56"/>
    <n v="121"/>
    <d v="2024-09-06T00:00:00"/>
    <n v="-537"/>
    <x v="0"/>
    <x v="4"/>
    <n v="8"/>
    <n v="11396"/>
    <x v="1"/>
  </r>
  <r>
    <s v="MED031"/>
    <s v="Erythromycin 500mg Tablets"/>
    <s v="Erythromycin"/>
    <x v="1"/>
    <s v="Tablet"/>
    <n v="19"/>
    <s v="BCH65519"/>
    <n v="442"/>
    <n v="66"/>
    <n v="127"/>
    <d v="2025-08-25T00:00:00"/>
    <n v="-184"/>
    <x v="1"/>
    <x v="5"/>
    <n v="5"/>
    <n v="8398"/>
    <x v="1"/>
  </r>
  <r>
    <s v="MED044"/>
    <s v="Digoxin 0.25mg Tablets"/>
    <s v="Digoxin"/>
    <x v="22"/>
    <s v="Tablet"/>
    <n v="9"/>
    <s v="BCH41285"/>
    <n v="67"/>
    <n v="62"/>
    <n v="253"/>
    <d v="2025-03-29T00:00:00"/>
    <n v="-333"/>
    <x v="5"/>
    <x v="5"/>
    <n v="5"/>
    <n v="603"/>
    <x v="1"/>
  </r>
  <r>
    <s v="MED045"/>
    <s v="Phenytoin 100mg Tablets"/>
    <s v="Phenytoin"/>
    <x v="21"/>
    <s v="Tablet"/>
    <n v="10"/>
    <s v="BCH19508"/>
    <n v="318"/>
    <n v="56"/>
    <n v="151"/>
    <d v="2024-07-10T00:00:00"/>
    <n v="-595"/>
    <x v="1"/>
    <x v="5"/>
    <n v="5"/>
    <n v="3180"/>
    <x v="1"/>
  </r>
  <r>
    <s v="MED008"/>
    <s v="Cetirizine 10mg Tablets"/>
    <s v="Cetirizine"/>
    <x v="23"/>
    <s v="Tablet"/>
    <n v="4.5"/>
    <s v="BCH63964"/>
    <n v="136"/>
    <n v="30"/>
    <n v="155"/>
    <d v="2025-10-01T00:00:00"/>
    <n v="-147"/>
    <x v="6"/>
    <x v="5"/>
    <n v="5"/>
    <n v="612"/>
    <x v="1"/>
  </r>
  <r>
    <s v="MED016"/>
    <s v="Losartan 50mg Tablets"/>
    <s v="Losartan"/>
    <x v="7"/>
    <s v="Tablet"/>
    <n v="14"/>
    <s v="BCH66531"/>
    <n v="319"/>
    <n v="40"/>
    <n v="163"/>
    <d v="2024-03-12T00:00:00"/>
    <n v="-715"/>
    <x v="8"/>
    <x v="5"/>
    <n v="5"/>
    <n v="4466"/>
    <x v="1"/>
  </r>
  <r>
    <s v="MED040"/>
    <s v="Warfarin 5mg Tablets"/>
    <s v="Warfarin"/>
    <x v="4"/>
    <s v="Tablet"/>
    <n v="18"/>
    <s v="BCH54236"/>
    <n v="142"/>
    <n v="68"/>
    <n v="315"/>
    <d v="2026-08-19T00:00:00"/>
    <n v="175"/>
    <x v="8"/>
    <x v="5"/>
    <n v="5"/>
    <n v="2556"/>
    <x v="4"/>
  </r>
  <r>
    <s v="MED008"/>
    <s v="Cetirizine 10mg Tablets"/>
    <s v="Cetirizine"/>
    <x v="23"/>
    <s v="Tablet"/>
    <n v="4.5"/>
    <s v="BCH46434"/>
    <n v="189"/>
    <n v="42"/>
    <n v="207"/>
    <d v="2026-03-26T00:00:00"/>
    <n v="29"/>
    <x v="8"/>
    <x v="6"/>
    <n v="3"/>
    <n v="850.5"/>
    <x v="3"/>
  </r>
  <r>
    <s v="MED016"/>
    <s v="Losartan 50mg Tablets"/>
    <s v="Losartan"/>
    <x v="7"/>
    <s v="Tablet"/>
    <n v="14"/>
    <s v="BCH60019"/>
    <n v="270"/>
    <n v="36"/>
    <n v="383"/>
    <d v="2026-03-03T00:00:00"/>
    <n v="6"/>
    <x v="4"/>
    <x v="6"/>
    <n v="3"/>
    <n v="3780"/>
    <x v="3"/>
  </r>
  <r>
    <s v="MED036"/>
    <s v="Calcium + Vitamin D3 Tablet"/>
    <s v="Calcium Carbonate"/>
    <x v="3"/>
    <s v="Tablet"/>
    <n v="6.5"/>
    <s v="BCH73653"/>
    <n v="442"/>
    <n v="45"/>
    <n v="130"/>
    <d v="2024-11-06T00:00:00"/>
    <n v="-476"/>
    <x v="3"/>
    <x v="6"/>
    <n v="3"/>
    <n v="2873"/>
    <x v="1"/>
  </r>
  <r>
    <s v="MED037"/>
    <s v="Rabeprazole 20mg Tablets"/>
    <s v="Rabeprazole"/>
    <x v="8"/>
    <s v="Tablet"/>
    <n v="11"/>
    <s v="BCH10282"/>
    <n v="474"/>
    <n v="70"/>
    <n v="332"/>
    <d v="2025-02-03T00:00:00"/>
    <n v="-387"/>
    <x v="8"/>
    <x v="6"/>
    <n v="3"/>
    <n v="5214"/>
    <x v="1"/>
  </r>
  <r>
    <s v="MED038"/>
    <s v="Sertraline 50mg Tablets"/>
    <s v="Sertraline"/>
    <x v="18"/>
    <s v="Tablet"/>
    <n v="22"/>
    <s v="BCH82845"/>
    <n v="79"/>
    <n v="32"/>
    <n v="251"/>
    <d v="2026-05-09T00:00:00"/>
    <n v="73"/>
    <x v="2"/>
    <x v="6"/>
    <n v="3"/>
    <n v="1738"/>
    <x v="3"/>
  </r>
  <r>
    <s v="MED042"/>
    <s v="Cough Syrup 100ml"/>
    <s v="Dextromethorphan"/>
    <x v="14"/>
    <s v="Syrup"/>
    <n v="38"/>
    <s v="BCH25713"/>
    <n v="296"/>
    <n v="58"/>
    <n v="120"/>
    <d v="2025-02-05T00:00:00"/>
    <n v="-385"/>
    <x v="1"/>
    <x v="6"/>
    <n v="3"/>
    <n v="11248"/>
    <x v="1"/>
  </r>
  <r>
    <s v="MED043"/>
    <s v="Antacid Suspension 200ml"/>
    <s v="Magnesium Hydroxide"/>
    <x v="8"/>
    <s v="Syrup"/>
    <n v="32"/>
    <s v="BCH96163"/>
    <n v="267"/>
    <n v="40"/>
    <n v="233"/>
    <d v="2026-08-20T00:00:00"/>
    <n v="176"/>
    <x v="2"/>
    <x v="6"/>
    <n v="3"/>
    <n v="8544"/>
    <x v="4"/>
  </r>
  <r>
    <s v="MED019"/>
    <s v="Ranitidine 150mg Tablets"/>
    <s v="Ranitidine"/>
    <x v="8"/>
    <s v="Tablet"/>
    <n v="6"/>
    <s v="BCH81819"/>
    <n v="155"/>
    <n v="38"/>
    <n v="207"/>
    <d v="2025-05-03T00:00:00"/>
    <n v="-298"/>
    <x v="6"/>
    <x v="6"/>
    <n v="3"/>
    <n v="930"/>
    <x v="1"/>
  </r>
  <r>
    <s v="MED024"/>
    <s v="Prednisolone 5mg Tablets"/>
    <s v="Prednisolone"/>
    <x v="16"/>
    <s v="Tablet"/>
    <n v="11.5"/>
    <s v="BCH92544"/>
    <n v="367"/>
    <n v="64"/>
    <n v="296"/>
    <d v="2025-02-11T00:00:00"/>
    <n v="-379"/>
    <x v="5"/>
    <x v="6"/>
    <n v="3"/>
    <n v="4220.5"/>
    <x v="1"/>
  </r>
  <r>
    <s v="MED025"/>
    <s v="Folic Acid 5mg Tablets"/>
    <s v="Folic Acid"/>
    <x v="5"/>
    <s v="Tablet"/>
    <n v="3.5"/>
    <s v="BCH41979"/>
    <n v="457"/>
    <n v="68"/>
    <n v="154"/>
    <d v="2023-06-01T00:00:00"/>
    <n v="-1000"/>
    <x v="6"/>
    <x v="6"/>
    <n v="3"/>
    <n v="1599.5"/>
    <x v="1"/>
  </r>
  <r>
    <s v="MED032"/>
    <s v="Furosemide 40mg Tablets"/>
    <s v="Furosemide"/>
    <x v="2"/>
    <s v="Tablet"/>
    <n v="5.5"/>
    <s v="BCH30028"/>
    <n v="32"/>
    <n v="46"/>
    <n v="308"/>
    <d v="2025-06-25T00:00:00"/>
    <n v="-245"/>
    <x v="0"/>
    <x v="6"/>
    <n v="3"/>
    <n v="176"/>
    <x v="2"/>
  </r>
  <r>
    <s v="MED037"/>
    <s v="Rabeprazole 20mg Tablets"/>
    <s v="Rabeprazole"/>
    <x v="8"/>
    <s v="Tablet"/>
    <n v="11"/>
    <s v="BCH31632"/>
    <n v="470"/>
    <n v="28"/>
    <n v="373"/>
    <d v="2026-11-08T00:00:00"/>
    <n v="256"/>
    <x v="4"/>
    <x v="6"/>
    <n v="3"/>
    <n v="5170"/>
    <x v="4"/>
  </r>
  <r>
    <s v="MED038"/>
    <s v="Sertraline 50mg Tablets"/>
    <s v="Sertraline"/>
    <x v="18"/>
    <s v="Tablet"/>
    <n v="22"/>
    <s v="BCH87580"/>
    <n v="42"/>
    <n v="61"/>
    <n v="319"/>
    <d v="2024-07-31T00:00:00"/>
    <n v="-574"/>
    <x v="3"/>
    <x v="6"/>
    <n v="3"/>
    <n v="924"/>
    <x v="2"/>
  </r>
  <r>
    <s v="MED046"/>
    <s v="Morphine 10mg Injection"/>
    <s v="Morphine"/>
    <x v="11"/>
    <s v="Injection"/>
    <n v="95"/>
    <s v="BCH35995"/>
    <n v="353"/>
    <n v="73"/>
    <n v="224"/>
    <d v="2025-03-18T00:00:00"/>
    <n v="-344"/>
    <x v="1"/>
    <x v="6"/>
    <n v="3"/>
    <n v="33535"/>
    <x v="1"/>
  </r>
  <r>
    <s v="MED049"/>
    <s v="Eye Drops Ciprofloxacin 0.3%"/>
    <s v="Ciprofloxacin"/>
    <x v="1"/>
    <s v="Eye Drops"/>
    <n v="35"/>
    <s v="BCH74251"/>
    <n v="491"/>
    <n v="43"/>
    <n v="335"/>
    <d v="2024-10-17T00:00:00"/>
    <n v="-496"/>
    <x v="3"/>
    <x v="6"/>
    <n v="3"/>
    <n v="17185"/>
    <x v="1"/>
  </r>
  <r>
    <s v="MED050"/>
    <s v="Oral Rehydration Salts"/>
    <s v="ORS"/>
    <x v="20"/>
    <s v="Powder"/>
    <n v="3.5"/>
    <s v="BCH33086"/>
    <n v="494"/>
    <n v="61"/>
    <n v="238"/>
    <d v="2027-01-21T00:00:00"/>
    <n v="330"/>
    <x v="7"/>
    <x v="6"/>
    <n v="3"/>
    <n v="1729"/>
    <x v="4"/>
  </r>
  <r>
    <s v="MED006"/>
    <s v="Azithromycin 250mg Tablets"/>
    <s v="Azithromycin"/>
    <x v="1"/>
    <s v="Tablet"/>
    <n v="22"/>
    <s v="BCH80284"/>
    <n v="282"/>
    <n v="38"/>
    <n v="285"/>
    <d v="2026-03-16T00:00:00"/>
    <n v="19"/>
    <x v="2"/>
    <x v="7"/>
    <n v="6"/>
    <n v="6204"/>
    <x v="3"/>
  </r>
  <r>
    <s v="MED010"/>
    <s v="Insulin Glargine 100U/ml"/>
    <s v="Insulin Glargine"/>
    <x v="12"/>
    <s v="Injection"/>
    <n v="280"/>
    <s v="BCH59735"/>
    <n v="112"/>
    <n v="63"/>
    <n v="266"/>
    <d v="2025-10-03T00:00:00"/>
    <n v="-145"/>
    <x v="7"/>
    <x v="7"/>
    <n v="6"/>
    <n v="31360"/>
    <x v="1"/>
  </r>
  <r>
    <s v="MED029"/>
    <s v="Ceftriaxone 1g Injection"/>
    <s v="Ceftriaxone"/>
    <x v="1"/>
    <s v="Injection"/>
    <n v="85"/>
    <s v="BCH38080"/>
    <n v="370"/>
    <n v="79"/>
    <n v="392"/>
    <d v="2025-01-05T00:00:00"/>
    <n v="-416"/>
    <x v="5"/>
    <x v="7"/>
    <n v="6"/>
    <n v="31450"/>
    <x v="1"/>
  </r>
  <r>
    <s v="MED034"/>
    <s v="Naproxen 250mg Tablets"/>
    <s v="Naproxen"/>
    <x v="9"/>
    <s v="Tablet"/>
    <n v="8.5"/>
    <s v="BCH42742"/>
    <n v="413"/>
    <n v="75"/>
    <n v="381"/>
    <d v="2024-09-16T00:00:00"/>
    <n v="-527"/>
    <x v="1"/>
    <x v="7"/>
    <n v="6"/>
    <n v="3510.5"/>
    <x v="1"/>
  </r>
  <r>
    <s v="MED028"/>
    <s v="Glibenclamide 5mg Tablets"/>
    <s v="Glibenclamide"/>
    <x v="12"/>
    <s v="Tablet"/>
    <n v="7"/>
    <s v="BCH90301"/>
    <n v="218"/>
    <n v="73"/>
    <n v="380"/>
    <d v="2027-04-14T00:00:00"/>
    <n v="413"/>
    <x v="5"/>
    <x v="7"/>
    <n v="6"/>
    <n v="1526"/>
    <x v="4"/>
  </r>
  <r>
    <s v="MED030"/>
    <s v="Aspirin 75mg Tablets"/>
    <s v="Aspirin"/>
    <x v="15"/>
    <s v="Tablet"/>
    <n v="4"/>
    <s v="BCH92149"/>
    <n v="225"/>
    <n v="24"/>
    <n v="246"/>
    <d v="2024-09-01T00:00:00"/>
    <n v="-542"/>
    <x v="2"/>
    <x v="7"/>
    <n v="6"/>
    <n v="900"/>
    <x v="1"/>
  </r>
  <r>
    <s v="MED036"/>
    <s v="Calcium + Vitamin D3 Tablet"/>
    <s v="Calcium Carbonate"/>
    <x v="3"/>
    <s v="Tablet"/>
    <n v="6.5"/>
    <s v="BCH38760"/>
    <n v="248"/>
    <n v="21"/>
    <n v="299"/>
    <d v="2025-04-06T00:00:00"/>
    <n v="-325"/>
    <x v="0"/>
    <x v="7"/>
    <n v="6"/>
    <n v="1612"/>
    <x v="1"/>
  </r>
  <r>
    <s v="MED039"/>
    <s v="Levofloxacin 500mg Tablets"/>
    <s v="Levofloxacin"/>
    <x v="1"/>
    <s v="Tablet"/>
    <n v="28"/>
    <s v="BCH33819"/>
    <n v="194"/>
    <n v="40"/>
    <n v="208"/>
    <d v="2024-02-21T00:00:00"/>
    <n v="-735"/>
    <x v="5"/>
    <x v="7"/>
    <n v="6"/>
    <n v="5432"/>
    <x v="1"/>
  </r>
  <r>
    <s v="MED044"/>
    <s v="Digoxin 0.25mg Tablets"/>
    <s v="Digoxin"/>
    <x v="22"/>
    <s v="Tablet"/>
    <n v="9"/>
    <s v="BCH43586"/>
    <n v="85"/>
    <n v="58"/>
    <n v="158"/>
    <d v="2026-02-24T00:00:00"/>
    <n v="-1"/>
    <x v="3"/>
    <x v="7"/>
    <n v="6"/>
    <n v="765"/>
    <x v="1"/>
  </r>
  <r>
    <s v="MED046"/>
    <s v="Morphine 10mg Injection"/>
    <s v="Morphine"/>
    <x v="11"/>
    <s v="Injection"/>
    <n v="95"/>
    <s v="BCH37938"/>
    <n v="67"/>
    <n v="79"/>
    <n v="278"/>
    <d v="2025-06-02T00:00:00"/>
    <n v="-268"/>
    <x v="1"/>
    <x v="8"/>
    <n v="4"/>
    <n v="6365"/>
    <x v="2"/>
  </r>
  <r>
    <s v="MED001"/>
    <s v="Amoxicillin 500mg Capsules"/>
    <s v="Amoxicillin"/>
    <x v="1"/>
    <s v="Capsule"/>
    <n v="12.5"/>
    <s v="BCH74032"/>
    <n v="47"/>
    <n v="60"/>
    <n v="316"/>
    <d v="2023-09-15T00:00:00"/>
    <n v="-894"/>
    <x v="8"/>
    <x v="8"/>
    <n v="4"/>
    <n v="587.5"/>
    <x v="2"/>
  </r>
  <r>
    <s v="MED003"/>
    <s v="Metformin 500mg Tablets"/>
    <s v="Metformin"/>
    <x v="12"/>
    <s v="Tablet"/>
    <n v="8.75"/>
    <s v="BCH66057"/>
    <n v="57"/>
    <n v="24"/>
    <n v="176"/>
    <d v="2024-07-28T00:00:00"/>
    <n v="-577"/>
    <x v="7"/>
    <x v="8"/>
    <n v="4"/>
    <n v="498.75"/>
    <x v="1"/>
  </r>
  <r>
    <s v="MED012"/>
    <s v="Lisinopril 10mg Tablets"/>
    <s v="Lisinopril"/>
    <x v="7"/>
    <s v="Tablet"/>
    <n v="13"/>
    <s v="BCH53404"/>
    <n v="449"/>
    <n v="36"/>
    <n v="191"/>
    <d v="2023-01-29T00:00:00"/>
    <n v="-1123"/>
    <x v="8"/>
    <x v="8"/>
    <n v="4"/>
    <n v="5837"/>
    <x v="1"/>
  </r>
  <r>
    <s v="MED017"/>
    <s v="Fluconazole 150mg Capsules"/>
    <s v="Fluconazole"/>
    <x v="10"/>
    <s v="Capsule"/>
    <n v="25"/>
    <s v="BCH50538"/>
    <n v="167"/>
    <n v="45"/>
    <n v="251"/>
    <d v="2026-05-14T00:00:00"/>
    <n v="78"/>
    <x v="7"/>
    <x v="8"/>
    <n v="4"/>
    <n v="4175"/>
    <x v="3"/>
  </r>
  <r>
    <s v="MED021"/>
    <s v="Vitamin B12 500mcg Tablets"/>
    <s v="Cyanocobalamin"/>
    <x v="5"/>
    <s v="Tablet"/>
    <n v="8"/>
    <s v="BCH72021"/>
    <n v="337"/>
    <n v="25"/>
    <n v="245"/>
    <d v="2025-09-22T00:00:00"/>
    <n v="-156"/>
    <x v="7"/>
    <x v="8"/>
    <n v="4"/>
    <n v="2696"/>
    <x v="1"/>
  </r>
  <r>
    <s v="MED033"/>
    <s v="Diazepam 5mg Tablets"/>
    <s v="Diazepam"/>
    <x v="19"/>
    <s v="Tablet"/>
    <n v="12"/>
    <s v="BCH71069"/>
    <n v="105"/>
    <n v="73"/>
    <n v="315"/>
    <d v="2024-03-01T00:00:00"/>
    <n v="-726"/>
    <x v="6"/>
    <x v="8"/>
    <n v="4"/>
    <n v="1260"/>
    <x v="1"/>
  </r>
  <r>
    <s v="MED048"/>
    <s v="Clotrimazole Cream 1%"/>
    <s v="Clotrimazole"/>
    <x v="10"/>
    <s v="Cream"/>
    <n v="22"/>
    <s v="BCH66148"/>
    <n v="35"/>
    <n v="52"/>
    <n v="274"/>
    <d v="2025-11-08T00:00:00"/>
    <n v="-109"/>
    <x v="4"/>
    <x v="8"/>
    <n v="4"/>
    <n v="770"/>
    <x v="2"/>
  </r>
  <r>
    <s v="MED003"/>
    <s v="Metformin 500mg Tablets"/>
    <s v="Metformin"/>
    <x v="12"/>
    <s v="Tablet"/>
    <n v="8.75"/>
    <s v="BCH13478"/>
    <n v="0"/>
    <n v="34"/>
    <n v="329"/>
    <d v="2026-05-14T00:00:00"/>
    <n v="78"/>
    <x v="8"/>
    <x v="9"/>
    <n v="10"/>
    <n v="0"/>
    <x v="0"/>
  </r>
  <r>
    <s v="MED012"/>
    <s v="Lisinopril 10mg Tablets"/>
    <s v="Lisinopril"/>
    <x v="7"/>
    <s v="Tablet"/>
    <n v="13"/>
    <s v="BCH51245"/>
    <n v="202"/>
    <n v="76"/>
    <n v="334"/>
    <d v="2025-02-03T00:00:00"/>
    <n v="-387"/>
    <x v="3"/>
    <x v="9"/>
    <n v="10"/>
    <n v="2626"/>
    <x v="1"/>
  </r>
  <r>
    <s v="MED014"/>
    <s v="Vitamin D3 1000IU Tablets"/>
    <s v="Cholecalciferol"/>
    <x v="5"/>
    <s v="Tablet"/>
    <n v="7"/>
    <s v="BCH62350"/>
    <n v="70"/>
    <n v="52"/>
    <n v="352"/>
    <d v="2024-07-07T00:00:00"/>
    <n v="-598"/>
    <x v="1"/>
    <x v="9"/>
    <n v="10"/>
    <n v="490"/>
    <x v="1"/>
  </r>
  <r>
    <s v="MED021"/>
    <s v="Vitamin B12 500mcg Tablets"/>
    <s v="Cyanocobalamin"/>
    <x v="5"/>
    <s v="Tablet"/>
    <n v="8"/>
    <s v="BCH52487"/>
    <n v="57"/>
    <n v="79"/>
    <n v="285"/>
    <d v="2024-05-15T00:00:00"/>
    <n v="-651"/>
    <x v="8"/>
    <x v="9"/>
    <n v="10"/>
    <n v="456"/>
    <x v="2"/>
  </r>
  <r>
    <s v="MED027"/>
    <s v="Ondansetron 4mg Tablets"/>
    <s v="Ondansetron"/>
    <x v="13"/>
    <s v="Tablet"/>
    <n v="16"/>
    <s v="BCH38864"/>
    <n v="362"/>
    <n v="60"/>
    <n v="130"/>
    <d v="2023-01-08T00:00:00"/>
    <n v="-1144"/>
    <x v="2"/>
    <x v="9"/>
    <n v="10"/>
    <n v="5792"/>
    <x v="1"/>
  </r>
  <r>
    <s v="MED048"/>
    <s v="Clotrimazole Cream 1%"/>
    <s v="Clotrimazole"/>
    <x v="10"/>
    <s v="Cream"/>
    <n v="22"/>
    <s v="BCH95717"/>
    <n v="341"/>
    <n v="72"/>
    <n v="383"/>
    <d v="2024-06-25T00:00:00"/>
    <n v="-610"/>
    <x v="8"/>
    <x v="9"/>
    <n v="10"/>
    <n v="7502"/>
    <x v="1"/>
  </r>
  <r>
    <s v="MED014"/>
    <s v="Vitamin D3 1000IU Tablets"/>
    <s v="Cholecalciferol"/>
    <x v="5"/>
    <s v="Tablet"/>
    <n v="7"/>
    <s v="BCH77033"/>
    <n v="460"/>
    <n v="56"/>
    <n v="197"/>
    <d v="2024-10-27T00:00:00"/>
    <n v="-486"/>
    <x v="8"/>
    <x v="9"/>
    <n v="10"/>
    <n v="3220"/>
    <x v="1"/>
  </r>
  <r>
    <s v="MED020"/>
    <s v="Clopidogrel 75mg Tablets"/>
    <s v="Clopidogrel"/>
    <x v="15"/>
    <s v="Tablet"/>
    <n v="20"/>
    <s v="BCH89516"/>
    <n v="238"/>
    <n v="48"/>
    <n v="326"/>
    <d v="2025-11-01T00:00:00"/>
    <n v="-116"/>
    <x v="2"/>
    <x v="9"/>
    <n v="10"/>
    <n v="4760"/>
    <x v="1"/>
  </r>
  <r>
    <s v="MED022"/>
    <s v="Amitriptyline 25mg Tablets"/>
    <s v="Amitriptyline"/>
    <x v="18"/>
    <s v="Tablet"/>
    <n v="9.5"/>
    <s v="BCH53933"/>
    <n v="344"/>
    <n v="39"/>
    <n v="215"/>
    <d v="2023-10-06T00:00:00"/>
    <n v="-873"/>
    <x v="2"/>
    <x v="9"/>
    <n v="10"/>
    <n v="3268"/>
    <x v="1"/>
  </r>
  <r>
    <s v="MED034"/>
    <s v="Naproxen 250mg Tablets"/>
    <s v="Naproxen"/>
    <x v="9"/>
    <s v="Tablet"/>
    <n v="8.5"/>
    <s v="BCH12560"/>
    <n v="194"/>
    <n v="50"/>
    <n v="103"/>
    <d v="2027-05-27T00:00:00"/>
    <n v="456"/>
    <x v="0"/>
    <x v="9"/>
    <n v="10"/>
    <n v="1649"/>
    <x v="4"/>
  </r>
  <r>
    <s v="MED043"/>
    <s v="Antacid Suspension 200ml"/>
    <s v="Magnesium Hydroxide"/>
    <x v="8"/>
    <s v="Syrup"/>
    <n v="32"/>
    <s v="BCH29973"/>
    <n v="242"/>
    <n v="62"/>
    <n v="158"/>
    <d v="2024-03-03T00:00:00"/>
    <n v="-724"/>
    <x v="2"/>
    <x v="9"/>
    <n v="10"/>
    <n v="77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C8B07-494E-4E55-86AB-641DA37FEF0A}"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Status">
  <location ref="L18:R44" firstHeaderRow="1" firstDataRow="2" firstDataCol="1"/>
  <pivotFields count="17">
    <pivotField dataField="1" showAll="0"/>
    <pivotField showAll="0"/>
    <pivotField showAll="0"/>
    <pivotField axis="axisRow" showAll="0">
      <items count="25">
        <item x="8"/>
        <item x="1"/>
        <item x="4"/>
        <item x="21"/>
        <item x="18"/>
        <item x="12"/>
        <item x="13"/>
        <item x="10"/>
        <item x="23"/>
        <item x="7"/>
        <item x="15"/>
        <item x="19"/>
        <item x="17"/>
        <item x="22"/>
        <item x="0"/>
        <item x="16"/>
        <item x="14"/>
        <item x="2"/>
        <item x="20"/>
        <item x="9"/>
        <item x="11"/>
        <item x="6"/>
        <item x="3"/>
        <item x="5"/>
        <item t="default"/>
      </items>
    </pivotField>
    <pivotField showAll="0"/>
    <pivotField numFmtId="168" showAll="0"/>
    <pivotField showAll="0"/>
    <pivotField numFmtId="3" showAll="0"/>
    <pivotField showAll="0"/>
    <pivotField showAll="0"/>
    <pivotField numFmtId="164" showAll="0"/>
    <pivotField showAll="0"/>
    <pivotField showAll="0">
      <items count="10">
        <item x="4"/>
        <item x="1"/>
        <item x="3"/>
        <item x="2"/>
        <item x="8"/>
        <item x="0"/>
        <item x="6"/>
        <item x="5"/>
        <item x="7"/>
        <item t="default"/>
      </items>
    </pivotField>
    <pivotField showAll="0">
      <items count="11">
        <item x="3"/>
        <item x="7"/>
        <item x="9"/>
        <item x="1"/>
        <item x="2"/>
        <item x="5"/>
        <item x="6"/>
        <item x="4"/>
        <item x="0"/>
        <item x="8"/>
        <item t="default"/>
      </items>
    </pivotField>
    <pivotField showAll="0"/>
    <pivotField numFmtId="165" showAll="0"/>
    <pivotField axis="axisCol" showAll="0">
      <items count="6">
        <item x="3"/>
        <item x="4"/>
        <item x="2"/>
        <item x="0"/>
        <item x="1"/>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6"/>
  </colFields>
  <colItems count="6">
    <i>
      <x/>
    </i>
    <i>
      <x v="1"/>
    </i>
    <i>
      <x v="2"/>
    </i>
    <i>
      <x v="3"/>
    </i>
    <i>
      <x v="4"/>
    </i>
    <i t="grand">
      <x/>
    </i>
  </colItems>
  <dataFields count="1">
    <dataField name="Medicin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16C65-A6E0-4E14-B700-3438BD2FAD4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ection" colHeaderCaption="Status">
  <location ref="L3:R14" firstHeaderRow="1" firstDataRow="2" firstDataCol="1"/>
  <pivotFields count="17">
    <pivotField showAll="0"/>
    <pivotField dataField="1" showAll="0"/>
    <pivotField showAll="0"/>
    <pivotField showAll="0">
      <items count="25">
        <item x="8"/>
        <item x="1"/>
        <item x="4"/>
        <item x="21"/>
        <item x="18"/>
        <item x="12"/>
        <item x="13"/>
        <item x="10"/>
        <item x="23"/>
        <item x="7"/>
        <item x="15"/>
        <item x="19"/>
        <item x="17"/>
        <item x="22"/>
        <item x="0"/>
        <item x="16"/>
        <item x="14"/>
        <item x="2"/>
        <item x="20"/>
        <item x="9"/>
        <item x="11"/>
        <item x="6"/>
        <item x="3"/>
        <item x="5"/>
        <item t="default"/>
      </items>
    </pivotField>
    <pivotField showAll="0"/>
    <pivotField numFmtId="168" showAll="0"/>
    <pivotField showAll="0"/>
    <pivotField numFmtId="3" showAll="0"/>
    <pivotField showAll="0"/>
    <pivotField showAll="0"/>
    <pivotField numFmtId="164" showAll="0"/>
    <pivotField showAll="0"/>
    <pivotField axis="axisRow" showAll="0">
      <items count="10">
        <item x="4"/>
        <item x="1"/>
        <item x="3"/>
        <item x="2"/>
        <item x="8"/>
        <item x="0"/>
        <item x="6"/>
        <item x="5"/>
        <item x="7"/>
        <item t="default"/>
      </items>
    </pivotField>
    <pivotField showAll="0">
      <items count="11">
        <item x="3"/>
        <item x="7"/>
        <item x="9"/>
        <item x="1"/>
        <item x="2"/>
        <item x="5"/>
        <item x="6"/>
        <item x="4"/>
        <item x="0"/>
        <item x="8"/>
        <item t="default"/>
      </items>
    </pivotField>
    <pivotField showAll="0"/>
    <pivotField numFmtId="165" showAll="0"/>
    <pivotField axis="axisCol" showAll="0">
      <items count="6">
        <item x="3"/>
        <item x="4"/>
        <item x="2"/>
        <item x="0"/>
        <item x="1"/>
        <item t="default"/>
      </items>
    </pivotField>
  </pivotFields>
  <rowFields count="1">
    <field x="12"/>
  </rowFields>
  <rowItems count="10">
    <i>
      <x/>
    </i>
    <i>
      <x v="1"/>
    </i>
    <i>
      <x v="2"/>
    </i>
    <i>
      <x v="3"/>
    </i>
    <i>
      <x v="4"/>
    </i>
    <i>
      <x v="5"/>
    </i>
    <i>
      <x v="6"/>
    </i>
    <i>
      <x v="7"/>
    </i>
    <i>
      <x v="8"/>
    </i>
    <i t="grand">
      <x/>
    </i>
  </rowItems>
  <colFields count="1">
    <field x="16"/>
  </colFields>
  <colItems count="6">
    <i>
      <x/>
    </i>
    <i>
      <x v="1"/>
    </i>
    <i>
      <x v="2"/>
    </i>
    <i>
      <x v="3"/>
    </i>
    <i>
      <x v="4"/>
    </i>
    <i t="grand">
      <x/>
    </i>
  </colItems>
  <dataFields count="1">
    <dataField name="Warehouse" fld="1" subtotal="count" baseField="0" baseItem="0"/>
  </dataFields>
  <chartFormats count="5">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8FF45-E6B2-4AF3-8A7D-C2B4FCE6BEFE}"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Name">
  <location ref="B33:E44" firstHeaderRow="0" firstDataRow="1" firstDataCol="1"/>
  <pivotFields count="17">
    <pivotField dataField="1" showAll="0"/>
    <pivotField showAll="0"/>
    <pivotField showAll="0"/>
    <pivotField showAll="0">
      <items count="25">
        <item x="8"/>
        <item x="1"/>
        <item x="4"/>
        <item x="21"/>
        <item x="18"/>
        <item x="12"/>
        <item x="13"/>
        <item x="10"/>
        <item x="23"/>
        <item x="7"/>
        <item x="15"/>
        <item x="19"/>
        <item x="17"/>
        <item x="22"/>
        <item x="0"/>
        <item x="16"/>
        <item x="14"/>
        <item x="2"/>
        <item x="20"/>
        <item x="9"/>
        <item x="11"/>
        <item x="6"/>
        <item x="3"/>
        <item x="5"/>
        <item t="default"/>
      </items>
    </pivotField>
    <pivotField showAll="0"/>
    <pivotField numFmtId="168" showAll="0"/>
    <pivotField showAll="0"/>
    <pivotField numFmtId="3" showAll="0"/>
    <pivotField showAll="0"/>
    <pivotField showAll="0"/>
    <pivotField numFmtId="164" showAll="0"/>
    <pivotField showAll="0"/>
    <pivotField showAll="0">
      <items count="10">
        <item x="4"/>
        <item x="1"/>
        <item x="3"/>
        <item x="2"/>
        <item x="8"/>
        <item x="0"/>
        <item x="6"/>
        <item x="5"/>
        <item x="7"/>
        <item t="default"/>
      </items>
    </pivotField>
    <pivotField axis="axisRow" showAll="0">
      <items count="11">
        <item x="3"/>
        <item x="7"/>
        <item x="9"/>
        <item x="1"/>
        <item x="2"/>
        <item x="5"/>
        <item x="6"/>
        <item x="4"/>
        <item x="0"/>
        <item x="8"/>
        <item t="default"/>
      </items>
    </pivotField>
    <pivotField dataField="1" showAll="0"/>
    <pivotField dataField="1" numFmtId="165" showAll="0"/>
    <pivotField showAll="0">
      <items count="6">
        <item x="1"/>
        <item x="3"/>
        <item x="4"/>
        <item x="2"/>
        <item x="0"/>
        <item t="default"/>
      </items>
    </pivotField>
  </pivotFields>
  <rowFields count="1">
    <field x="13"/>
  </rowFields>
  <rowItems count="11">
    <i>
      <x/>
    </i>
    <i>
      <x v="1"/>
    </i>
    <i>
      <x v="2"/>
    </i>
    <i>
      <x v="3"/>
    </i>
    <i>
      <x v="4"/>
    </i>
    <i>
      <x v="5"/>
    </i>
    <i>
      <x v="6"/>
    </i>
    <i>
      <x v="7"/>
    </i>
    <i>
      <x v="8"/>
    </i>
    <i>
      <x v="9"/>
    </i>
    <i t="grand">
      <x/>
    </i>
  </rowItems>
  <colFields count="1">
    <field x="-2"/>
  </colFields>
  <colItems count="3">
    <i>
      <x/>
    </i>
    <i i="1">
      <x v="1"/>
    </i>
    <i i="2">
      <x v="2"/>
    </i>
  </colItems>
  <dataFields count="3">
    <dataField name="Batch Count" fld="0" subtotal="count" baseField="13" baseItem="0"/>
    <dataField name="Total Stock Value" fld="15" baseField="13" baseItem="0"/>
    <dataField name="Average Lead Days" fld="14" subtotal="average" baseField="1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EC3E86-3D2F-4A20-97ED-D642D817436B}"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G3:J28" firstHeaderRow="0" firstDataRow="1" firstDataCol="1"/>
  <pivotFields count="17">
    <pivotField dataField="1" showAll="0"/>
    <pivotField showAll="0"/>
    <pivotField showAll="0"/>
    <pivotField axis="axisRow" showAll="0">
      <items count="25">
        <item x="8"/>
        <item x="1"/>
        <item x="4"/>
        <item x="21"/>
        <item x="18"/>
        <item x="12"/>
        <item x="13"/>
        <item x="10"/>
        <item x="23"/>
        <item x="7"/>
        <item x="15"/>
        <item x="19"/>
        <item x="17"/>
        <item x="22"/>
        <item x="0"/>
        <item x="16"/>
        <item x="14"/>
        <item x="2"/>
        <item x="20"/>
        <item x="9"/>
        <item x="11"/>
        <item x="6"/>
        <item x="3"/>
        <item x="5"/>
        <item t="default"/>
      </items>
    </pivotField>
    <pivotField showAll="0"/>
    <pivotField dataField="1" numFmtId="168" showAll="0"/>
    <pivotField showAll="0"/>
    <pivotField numFmtId="3" showAll="0"/>
    <pivotField showAll="0"/>
    <pivotField showAll="0"/>
    <pivotField numFmtId="164" showAll="0"/>
    <pivotField showAll="0"/>
    <pivotField showAll="0">
      <items count="10">
        <item x="4"/>
        <item x="1"/>
        <item x="3"/>
        <item x="2"/>
        <item x="8"/>
        <item x="0"/>
        <item x="6"/>
        <item x="5"/>
        <item x="7"/>
        <item t="default"/>
      </items>
    </pivotField>
    <pivotField showAll="0">
      <items count="11">
        <item x="3"/>
        <item x="7"/>
        <item x="9"/>
        <item x="1"/>
        <item x="2"/>
        <item x="5"/>
        <item x="6"/>
        <item x="4"/>
        <item x="0"/>
        <item x="8"/>
        <item t="default"/>
      </items>
    </pivotField>
    <pivotField showAll="0"/>
    <pivotField dataField="1" numFmtId="165" showAll="0"/>
    <pivotField showAll="0">
      <items count="6">
        <item x="1"/>
        <item x="3"/>
        <item x="4"/>
        <item x="2"/>
        <item x="0"/>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Total Stock value" fld="15" baseField="3" baseItem="0"/>
    <dataField name="Batch Count" fld="0" subtotal="count" baseField="3" baseItem="0"/>
    <dataField name="Avg Unit Price" fld="5" subtotal="average" baseField="3" baseItem="0"/>
  </dataFields>
  <formats count="4">
    <format dxfId="7">
      <pivotArea collapsedLevelsAreSubtotals="1" fieldPosition="0">
        <references count="2">
          <reference field="4294967294" count="1" selected="0">
            <x v="2"/>
          </reference>
          <reference field="3" count="1">
            <x v="5"/>
          </reference>
        </references>
      </pivotArea>
    </format>
    <format dxfId="6">
      <pivotArea collapsedLevelsAreSubtotals="1" fieldPosition="0">
        <references count="2">
          <reference field="4294967294" count="1" selected="0">
            <x v="2"/>
          </reference>
          <reference field="3" count="1">
            <x v="9"/>
          </reference>
        </references>
      </pivotArea>
    </format>
    <format dxfId="5">
      <pivotArea collapsedLevelsAreSubtotals="1" fieldPosition="0">
        <references count="2">
          <reference field="4294967294" count="1" selected="0">
            <x v="2"/>
          </reference>
          <reference field="3" count="1">
            <x v="15"/>
          </reference>
        </references>
      </pivotArea>
    </format>
    <format dxfId="4">
      <pivotArea collapsedLevelsAreSubtotals="1" fieldPosition="0">
        <references count="2">
          <reference field="4294967294" count="1" selected="0">
            <x v="2"/>
          </reference>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0F699-E102-47B9-80B6-784EE014C8E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ock Status">
  <location ref="B3:E9" firstHeaderRow="0" firstDataRow="1" firstDataCol="1"/>
  <pivotFields count="17">
    <pivotField dataField="1" showAll="0"/>
    <pivotField showAll="0"/>
    <pivotField showAll="0"/>
    <pivotField showAll="0">
      <items count="25">
        <item x="8"/>
        <item x="1"/>
        <item x="4"/>
        <item x="21"/>
        <item x="18"/>
        <item x="12"/>
        <item x="13"/>
        <item x="10"/>
        <item x="23"/>
        <item x="7"/>
        <item x="15"/>
        <item x="19"/>
        <item x="17"/>
        <item x="22"/>
        <item x="0"/>
        <item x="16"/>
        <item x="14"/>
        <item x="2"/>
        <item x="20"/>
        <item x="9"/>
        <item x="11"/>
        <item x="6"/>
        <item x="3"/>
        <item x="5"/>
        <item t="default"/>
      </items>
    </pivotField>
    <pivotField showAll="0"/>
    <pivotField numFmtId="168" showAll="0"/>
    <pivotField showAll="0"/>
    <pivotField dataField="1" numFmtId="3" showAll="0"/>
    <pivotField showAll="0"/>
    <pivotField showAll="0"/>
    <pivotField numFmtId="164" showAll="0"/>
    <pivotField showAll="0"/>
    <pivotField showAll="0">
      <items count="10">
        <item x="4"/>
        <item x="1"/>
        <item x="3"/>
        <item x="2"/>
        <item x="8"/>
        <item x="0"/>
        <item x="6"/>
        <item x="5"/>
        <item x="7"/>
        <item t="default"/>
      </items>
    </pivotField>
    <pivotField showAll="0">
      <items count="11">
        <item x="3"/>
        <item x="7"/>
        <item x="9"/>
        <item x="1"/>
        <item x="2"/>
        <item x="5"/>
        <item x="6"/>
        <item x="4"/>
        <item x="0"/>
        <item x="8"/>
        <item t="default"/>
      </items>
    </pivotField>
    <pivotField showAll="0"/>
    <pivotField dataField="1" numFmtId="165" showAll="0"/>
    <pivotField axis="axisRow" showAll="0">
      <items count="6">
        <item x="3"/>
        <item x="4"/>
        <item x="2"/>
        <item x="0"/>
        <item x="1"/>
        <item t="default"/>
      </items>
    </pivotField>
  </pivotFields>
  <rowFields count="1">
    <field x="16"/>
  </rowFields>
  <rowItems count="6">
    <i>
      <x/>
    </i>
    <i>
      <x v="1"/>
    </i>
    <i>
      <x v="2"/>
    </i>
    <i>
      <x v="3"/>
    </i>
    <i>
      <x v="4"/>
    </i>
    <i t="grand">
      <x/>
    </i>
  </rowItems>
  <colFields count="1">
    <field x="-2"/>
  </colFields>
  <colItems count="3">
    <i>
      <x/>
    </i>
    <i i="1">
      <x v="1"/>
    </i>
    <i i="2">
      <x v="2"/>
    </i>
  </colItems>
  <dataFields count="3">
    <dataField name="Count" fld="0" subtotal="count" baseField="16" baseItem="0"/>
    <dataField name="Total_units" fld="7" baseField="16" baseItem="0"/>
    <dataField name=" Stock Value (₹)" fld="15" baseField="16" baseItem="0"/>
  </dataFields>
  <chartFormats count="1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6" format="4">
      <pivotArea type="data" outline="0" fieldPosition="0">
        <references count="2">
          <reference field="4294967294" count="1" selected="0">
            <x v="0"/>
          </reference>
          <reference field="16" count="1" selected="0">
            <x v="1"/>
          </reference>
        </references>
      </pivotArea>
    </chartFormat>
    <chartFormat chart="6" format="5">
      <pivotArea type="data" outline="0" fieldPosition="0">
        <references count="2">
          <reference field="4294967294" count="1" selected="0">
            <x v="0"/>
          </reference>
          <reference field="16" count="1" selected="0">
            <x v="2"/>
          </reference>
        </references>
      </pivotArea>
    </chartFormat>
    <chartFormat chart="6" format="6">
      <pivotArea type="data" outline="0" fieldPosition="0">
        <references count="2">
          <reference field="4294967294" count="1" selected="0">
            <x v="0"/>
          </reference>
          <reference field="16" count="1" selected="0">
            <x v="3"/>
          </reference>
        </references>
      </pivotArea>
    </chartFormat>
    <chartFormat chart="6" format="7">
      <pivotArea type="data" outline="0" fieldPosition="0">
        <references count="2">
          <reference field="4294967294" count="1" selected="0">
            <x v="1"/>
          </reference>
          <reference field="16" count="1" selected="0">
            <x v="0"/>
          </reference>
        </references>
      </pivotArea>
    </chartFormat>
    <chartFormat chart="6" format="8">
      <pivotArea type="data" outline="0" fieldPosition="0">
        <references count="2">
          <reference field="4294967294" count="1" selected="0">
            <x v="1"/>
          </reference>
          <reference field="16" count="1" selected="0">
            <x v="1"/>
          </reference>
        </references>
      </pivotArea>
    </chartFormat>
    <chartFormat chart="6" format="9">
      <pivotArea type="data" outline="0" fieldPosition="0">
        <references count="2">
          <reference field="4294967294" count="1" selected="0">
            <x v="1"/>
          </reference>
          <reference field="16" count="1" selected="0">
            <x v="2"/>
          </reference>
        </references>
      </pivotArea>
    </chartFormat>
    <chartFormat chart="6" format="10">
      <pivotArea type="data" outline="0" fieldPosition="0">
        <references count="2">
          <reference field="4294967294" count="1" selected="0">
            <x v="1"/>
          </reference>
          <reference field="16" count="1" selected="0">
            <x v="3"/>
          </reference>
        </references>
      </pivotArea>
    </chartFormat>
    <chartFormat chart="6" format="11">
      <pivotArea type="data" outline="0" fieldPosition="0">
        <references count="2">
          <reference field="4294967294" count="1" selected="0">
            <x v="2"/>
          </reference>
          <reference field="16" count="1" selected="0">
            <x v="0"/>
          </reference>
        </references>
      </pivotArea>
    </chartFormat>
    <chartFormat chart="6" format="12">
      <pivotArea type="data" outline="0" fieldPosition="0">
        <references count="2">
          <reference field="4294967294" count="1" selected="0">
            <x v="2"/>
          </reference>
          <reference field="16" count="1" selected="0">
            <x v="1"/>
          </reference>
        </references>
      </pivotArea>
    </chartFormat>
    <chartFormat chart="6" format="13">
      <pivotArea type="data" outline="0" fieldPosition="0">
        <references count="2">
          <reference field="4294967294" count="1" selected="0">
            <x v="2"/>
          </reference>
          <reference field="16" count="1" selected="0">
            <x v="2"/>
          </reference>
        </references>
      </pivotArea>
    </chartFormat>
    <chartFormat chart="6" format="14">
      <pivotArea type="data" outline="0" fieldPosition="0">
        <references count="2">
          <reference field="4294967294" count="1" selected="0">
            <x v="2"/>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7AB12F6-801F-41E6-830D-29C9EB89427C}" autoFormatId="16" applyNumberFormats="0" applyBorderFormats="0" applyFontFormats="0" applyPatternFormats="0" applyAlignmentFormats="0" applyWidthHeightFormats="0">
  <queryTableRefresh nextId="10">
    <queryTableFields count="9">
      <queryTableField id="1" name="sale_id" tableColumnId="1"/>
      <queryTableField id="2" name="medicine_id" tableColumnId="2"/>
      <queryTableField id="3" name="sale_date" tableColumnId="3"/>
      <queryTableField id="4" name="quantity_sold" tableColumnId="4"/>
      <queryTableField id="5" name="unit_price" tableColumnId="5"/>
      <queryTableField id="6" name="total_amount" tableColumnId="6"/>
      <queryTableField id="7" name="patient_type" tableColumnId="7"/>
      <queryTableField id="8" name="prescription_no" tableColumnId="8"/>
      <queryTableField id="9" name="pharmacist_i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C88F23-C7ED-4BA5-9CED-A1DE8FE3B157}" sourceName="category">
  <pivotTables>
    <pivotTable tabId="9" name="PivotTable6"/>
    <pivotTable tabId="9" name="PivotTable10"/>
    <pivotTable tabId="9" name="PivotTable7"/>
    <pivotTable tabId="9" name="PivotTable8"/>
    <pivotTable tabId="9" name="PivotTable9"/>
  </pivotTables>
  <data>
    <tabular pivotCacheId="2027298752">
      <items count="24">
        <i x="8" s="1"/>
        <i x="1" s="1"/>
        <i x="4" s="1"/>
        <i x="21" s="1"/>
        <i x="18" s="1"/>
        <i x="12" s="1"/>
        <i x="13" s="1"/>
        <i x="10" s="1"/>
        <i x="23" s="1"/>
        <i x="7" s="1"/>
        <i x="15" s="1"/>
        <i x="19" s="1"/>
        <i x="17" s="1"/>
        <i x="22" s="1"/>
        <i x="0" s="1"/>
        <i x="16" s="1"/>
        <i x="14" s="1"/>
        <i x="2" s="1"/>
        <i x="20" s="1"/>
        <i x="9" s="1"/>
        <i x="11" s="1"/>
        <i x="6"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section" xr10:uid="{1F5F85AB-6C00-47B3-AC83-4FE801931296}" sourceName="warehouse_section">
  <pivotTables>
    <pivotTable tabId="9" name="PivotTable6"/>
    <pivotTable tabId="9" name="PivotTable10"/>
    <pivotTable tabId="9" name="PivotTable7"/>
    <pivotTable tabId="9" name="PivotTable8"/>
    <pivotTable tabId="9" name="PivotTable9"/>
  </pivotTables>
  <data>
    <tabular pivotCacheId="2027298752">
      <items count="9">
        <i x="4" s="1"/>
        <i x="1" s="1"/>
        <i x="3" s="1"/>
        <i x="2" s="1"/>
        <i x="8" s="1"/>
        <i x="0" s="1"/>
        <i x="6"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64FF37E6-62B6-4E70-B2A6-178ADF39EC1F}" sourceName="supplier_name">
  <pivotTables>
    <pivotTable tabId="9" name="PivotTable6"/>
    <pivotTable tabId="9" name="PivotTable10"/>
    <pivotTable tabId="9" name="PivotTable7"/>
    <pivotTable tabId="9" name="PivotTable8"/>
    <pivotTable tabId="9" name="PivotTable9"/>
  </pivotTables>
  <data>
    <tabular pivotCacheId="2027298752">
      <items count="10">
        <i x="3" s="1"/>
        <i x="7" s="1"/>
        <i x="9" s="1"/>
        <i x="1" s="1"/>
        <i x="2" s="1"/>
        <i x="5" s="1"/>
        <i x="6" s="1"/>
        <i x="4" s="1"/>
        <i x="0"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1C6448C2-9E4F-463F-8EC1-661EC9F03B50}" sourceName="stock_status">
  <pivotTables>
    <pivotTable tabId="9" name="PivotTable6"/>
    <pivotTable tabId="9" name="PivotTable10"/>
    <pivotTable tabId="9" name="PivotTable7"/>
    <pivotTable tabId="9" name="PivotTable8"/>
    <pivotTable tabId="9" name="PivotTable9"/>
  </pivotTables>
  <data>
    <tabular pivotCacheId="2027298752">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116179-A5D4-444D-8133-1C6E8706B20E}" cache="Slicer_category" caption="category" style="SlicerStyleOther2" rowHeight="234950"/>
  <slicer name="warehouse_section" xr10:uid="{72522500-4156-4042-87F9-004072A56217}" cache="Slicer_warehouse_section" caption="warehouse_section" style="SlicerStyleOther2" rowHeight="234950"/>
  <slicer name="supplier_name" xr10:uid="{AC783581-FB26-47E4-B579-545D1CBC2E0B}" cache="Slicer_supplier_name" caption="supplier_name" style="SlicerStyleOther2" rowHeight="234950"/>
  <slicer name="stock_status" xr10:uid="{52790023-D541-4AAE-9231-A53301E98920}" cache="Slicer_stock_status" caption="stock_status"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1297BA-D3D1-4F99-A498-F624F170BC23}" name="tbl_inventory" displayName="tbl_inventory" ref="A1:Q101" totalsRowShown="0">
  <autoFilter ref="A1:Q101" xr:uid="{0C1297BA-D3D1-4F99-A498-F624F170BC23}"/>
  <tableColumns count="17">
    <tableColumn id="1" xr3:uid="{3A2BAF2D-01D0-4B1C-BC77-99DE988E05ED}" name="medicine_id"/>
    <tableColumn id="2" xr3:uid="{0E6C1B66-1978-481A-A88F-2CD063B89B6A}" name="medicine_name"/>
    <tableColumn id="3" xr3:uid="{326C31F0-0D0B-4C7E-A462-279C078D6E66}" name="generic_name"/>
    <tableColumn id="4" xr3:uid="{4EFC834A-DC7C-487C-B788-0674F0AC362B}" name="category"/>
    <tableColumn id="5" xr3:uid="{F3AC2D15-CE77-4D06-937D-127707D8D5A9}" name="dosage_form"/>
    <tableColumn id="6" xr3:uid="{623535BD-0A7C-424D-AF02-7A4BAFCFDBEA}" name="unit_price"/>
    <tableColumn id="7" xr3:uid="{968D6F56-BEDA-439C-8C3F-4F415043FEA0}" name="batch_number"/>
    <tableColumn id="8" xr3:uid="{504EA0DF-BD44-403C-ADBC-ED001A01369C}" name="quantity_in_stock" dataDxfId="25"/>
    <tableColumn id="9" xr3:uid="{72326A85-4B60-49DC-94DD-B0E0C7F28624}" name="reorder_level"/>
    <tableColumn id="10" xr3:uid="{0D589040-2B56-4A22-9E0A-4B6F772E9511}" name="reorder_quantity"/>
    <tableColumn id="11" xr3:uid="{7115F515-8FE7-4377-87F0-94F0F37224C2}" name="expiry_date" dataDxfId="24"/>
    <tableColumn id="12" xr3:uid="{9B00123F-DBA3-468A-B3C3-B993D5144891}" name="days_to_expiry"/>
    <tableColumn id="13" xr3:uid="{85637C8A-993C-40AC-92A7-171AE74FC480}" name="warehouse_section"/>
    <tableColumn id="14" xr3:uid="{861E508B-9800-4867-AA89-DAAF5BB88465}" name="supplier_name"/>
    <tableColumn id="15" xr3:uid="{30CED07A-DFEB-4423-9AC5-759734AC4F4D}" name="lead_time_days"/>
    <tableColumn id="16" xr3:uid="{F38C2A2C-9358-4F01-A736-8684414ED441}" name="current_stock_value" dataDxfId="23"/>
    <tableColumn id="17" xr3:uid="{9D77E941-161D-4A21-8B34-DE5DCC68FC43}" name="stock_statu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919F5F-4390-4754-B48E-C23634E00B40}" name="sales__2" displayName="sales__2" ref="A3:I503" tableType="queryTable" totalsRowShown="0">
  <autoFilter ref="A3:I503" xr:uid="{EC919F5F-4390-4754-B48E-C23634E00B40}"/>
  <tableColumns count="9">
    <tableColumn id="1" xr3:uid="{73541089-51AD-4587-9126-C11AA85E44A1}" uniqueName="1" name="sale_id" queryTableFieldId="1"/>
    <tableColumn id="2" xr3:uid="{5B3D3DC0-EA9A-4231-BBE8-E9F38D582AF6}" uniqueName="2" name="medicine_id" queryTableFieldId="2" dataDxfId="22"/>
    <tableColumn id="3" xr3:uid="{EAF42D97-AD51-4C88-9974-4C49EEBD6726}" uniqueName="3" name="sale_date" queryTableFieldId="3" dataDxfId="0"/>
    <tableColumn id="4" xr3:uid="{279AF19C-0010-403B-B983-7C2B8786EF26}" uniqueName="4" name="quantity_sold" queryTableFieldId="4"/>
    <tableColumn id="5" xr3:uid="{DF5AA786-6E2C-4EC6-AF7C-4B368A183D45}" uniqueName="5" name="unit_price" queryTableFieldId="5"/>
    <tableColumn id="6" xr3:uid="{C6FF8082-9501-480C-86F2-351E721C0490}" uniqueName="6" name="total_amount" queryTableFieldId="6"/>
    <tableColumn id="7" xr3:uid="{64A1E90D-2DF9-4AC6-9C47-C66B904A74EF}" uniqueName="7" name="patient_type" queryTableFieldId="7" dataDxfId="21"/>
    <tableColumn id="8" xr3:uid="{E659B523-FDDF-4E73-9186-B34B5B8FFDF3}" uniqueName="8" name="prescription_no" queryTableFieldId="8" dataDxfId="20"/>
    <tableColumn id="9" xr3:uid="{899C252B-D76D-463F-8A9B-1CE06EB7CC47}" uniqueName="9" name="pharmacist_id" queryTableFieldId="9" dataDxfId="1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5B155F-D0C3-4708-A5AE-896496786544}" name="Table4" displayName="Table4" ref="A5:I55" totalsRowShown="0">
  <autoFilter ref="A5:I55" xr:uid="{035B155F-D0C3-4708-A5AE-896496786544}"/>
  <sortState xmlns:xlrd2="http://schemas.microsoft.com/office/spreadsheetml/2017/richdata2" ref="A6:I55">
    <sortCondition descending="1" ref="D5:D55"/>
  </sortState>
  <tableColumns count="9">
    <tableColumn id="1" xr3:uid="{467BDEE7-07E6-4E70-ACB6-910F8A69FFDB}" name="medicine_id" dataDxfId="18"/>
    <tableColumn id="2" xr3:uid="{A57E4A6D-B315-4F71-BCBE-71CC6C7CF2F1}" name="Medicine name" dataDxfId="17">
      <calculatedColumnFormula>VLOOKUP(TRIM(A6),raw_data!$A:$Q,2,0)</calculatedColumnFormula>
    </tableColumn>
    <tableColumn id="3" xr3:uid="{E9B2B37D-5D37-4701-8915-C4381472A6AF}" name="Category" dataDxfId="16">
      <calculatedColumnFormula>VLOOKUP(TRIM(A6),raw_data!$A:$Q,4,0)</calculatedColumnFormula>
    </tableColumn>
    <tableColumn id="4" xr3:uid="{AC2BC915-8003-4BF5-9DC7-F7BEE1ED7925}" name="Total revenue" dataDxfId="15">
      <calculatedColumnFormula>SUMIF(raw_data!$A$2:$A$101, A6,raw_data!$P$2:$P$101)</calculatedColumnFormula>
    </tableColumn>
    <tableColumn id="5" xr3:uid="{47D22C20-588C-43F7-96BA-9FBD42C9AC50}" name="Rank" dataDxfId="14">
      <calculatedColumnFormula>RANK(D6,D$6:D$55,0)</calculatedColumnFormula>
    </tableColumn>
    <tableColumn id="6" xr3:uid="{FED1F8F1-4EB6-4A28-A250-10E8D5C2D956}" name="Running Total" dataDxfId="13">
      <calculatedColumnFormula>SUM(D$6:D6)</calculatedColumnFormula>
    </tableColumn>
    <tableColumn id="7" xr3:uid="{897A0DEB-459A-40B2-B077-5077CE4C7131}" name="Grand Total" dataDxfId="12">
      <calculatedColumnFormula>SUM(D$6:D$55)</calculatedColumnFormula>
    </tableColumn>
    <tableColumn id="8" xr3:uid="{FFF82F51-960D-4362-BAE8-C7AE3DBBDF22}" name="Cumulative %" dataDxfId="11">
      <calculatedColumnFormula>ROUND((F6/G6)*100,2)</calculatedColumnFormula>
    </tableColumn>
    <tableColumn id="9" xr3:uid="{CBD66201-D8E7-498F-A777-14390A63BA84}" name="ABC class" dataDxfId="10">
      <calculatedColumnFormula>IF(H6&lt;=70,"A - High Value",IF(H6&lt;=90,"B - Medium Value","C - Low Value"))</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867193-7B79-42A4-B62D-4427235CF887}" name="Table6" displayName="Table6" ref="A8:K58" totalsRowShown="0" headerRowDxfId="9">
  <autoFilter ref="A8:K58" xr:uid="{96867193-7B79-42A4-B62D-4427235CF887}"/>
  <tableColumns count="11">
    <tableColumn id="1" xr3:uid="{ED0409F6-4A54-49F8-ADD8-A1D53F8B75FF}" name="Medicine ID" dataDxfId="8"/>
    <tableColumn id="2" xr3:uid="{FE252587-BC32-439C-9C4B-5D84F000B7D7}" name="Medicine Name">
      <calculatedColumnFormula>VLOOKUP(TRIM(A9),raw_data!$A:$Q,2,0)</calculatedColumnFormula>
    </tableColumn>
    <tableColumn id="3" xr3:uid="{933CF38C-8F30-459D-AA2D-D8D22AA22638}" name="Category">
      <calculatedColumnFormula>VLOOKUP(TRIM(A9),raw_data!$A:$Q,4,0)</calculatedColumnFormula>
    </tableColumn>
    <tableColumn id="4" xr3:uid="{401CF781-4DAC-47F6-A1A7-8E69894BF0F5}" name="Unit Price">
      <calculatedColumnFormula>VLOOKUP(TRIM(A9),raw_data!$A:$Q,6,0)</calculatedColumnFormula>
    </tableColumn>
    <tableColumn id="5" xr3:uid="{C8DA0847-20F9-431E-A65E-385C3CA15B2D}" name="Annual Demand (units) ">
      <calculatedColumnFormula>SUMIF(sales_data!B:B,A9,sales_data!D:D)</calculatedColumnFormula>
    </tableColumn>
    <tableColumn id="6" xr3:uid="{D0C1D60A-F16C-48E1-95F2-0B676A1E3102}" name="Ordering Cost (Rs)">
      <calculatedColumnFormula>$C$4</calculatedColumnFormula>
    </tableColumn>
    <tableColumn id="7" xr3:uid="{24E1EC49-6448-49C1-AB10-86CA3FDD8AA1}" name="Holding Cost Per Unit (Rs)">
      <calculatedColumnFormula>ROUND(D9*$C$5,2)</calculatedColumnFormula>
    </tableColumn>
    <tableColumn id="8" xr3:uid="{DBAFAB16-A464-4378-B3A2-32BBDBC545F1}" name="EOQ (Units)">
      <calculatedColumnFormula>IFERROR(ROUND(SQRT((E9*F9)/G9),0),0)</calculatedColumnFormula>
    </tableColumn>
    <tableColumn id="9" xr3:uid="{AA9AF1AB-D705-42CE-B3EE-5240B9ACF88B}" name="Current reorder Quantity">
      <calculatedColumnFormula>IFERROR(SUMIF(raw_data!A:A,A9,raw_data!J:J)/ COUNTIF(raw_data!A:A,A9),0)</calculatedColumnFormula>
    </tableColumn>
    <tableColumn id="10" xr3:uid="{FEDE0B11-8EFC-453F-B97B-DDE8AE566953}" name="Reorder Level">
      <calculatedColumnFormula>IFERROR(SUMIF(raw_data!$A:$A,A9,raw_data!$I:$I)/ COUNTIF(raw_data!$A:$A,A9),0)</calculatedColumnFormula>
    </tableColumn>
    <tableColumn id="11" xr3:uid="{C8AD0662-5868-40BD-9F7D-22C954179647}" name="Difference ( EOQ vs Current)">
      <calculatedColumnFormula>H9-I9</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opLeftCell="B1" zoomScale="69" workbookViewId="0">
      <pane ySplit="1" topLeftCell="A2" activePane="bottomLeft" state="frozen"/>
      <selection pane="bottomLeft" activeCell="G14" sqref="G14"/>
    </sheetView>
  </sheetViews>
  <sheetFormatPr defaultRowHeight="14.4" x14ac:dyDescent="0.3"/>
  <cols>
    <col min="1" max="1" width="14.21875" bestFit="1" customWidth="1"/>
    <col min="2" max="2" width="27.21875" bestFit="1" customWidth="1"/>
    <col min="3" max="3" width="20.21875" bestFit="1" customWidth="1"/>
    <col min="4" max="4" width="17.44140625" bestFit="1" customWidth="1"/>
    <col min="5" max="5" width="14.77734375" bestFit="1" customWidth="1"/>
    <col min="6" max="6" width="12.33203125" bestFit="1" customWidth="1"/>
    <col min="7" max="7" width="16.109375" bestFit="1" customWidth="1"/>
    <col min="8" max="8" width="18.88671875" style="7" bestFit="1" customWidth="1"/>
    <col min="9" max="9" width="15.44140625" bestFit="1" customWidth="1"/>
    <col min="10" max="10" width="18.33203125" bestFit="1" customWidth="1"/>
    <col min="11" max="11" width="13.77734375" style="1" bestFit="1" customWidth="1"/>
    <col min="12" max="12" width="16.6640625" bestFit="1" customWidth="1"/>
    <col min="13" max="13" width="20.5546875" bestFit="1" customWidth="1"/>
    <col min="14" max="14" width="21.77734375" bestFit="1" customWidth="1"/>
    <col min="15" max="15" width="17.21875" bestFit="1" customWidth="1"/>
    <col min="16" max="16" width="21.109375" style="2" bestFit="1" customWidth="1"/>
    <col min="17" max="17" width="14.5546875" customWidth="1"/>
  </cols>
  <sheetData>
    <row r="1" spans="1:17" x14ac:dyDescent="0.3">
      <c r="A1" t="s">
        <v>0</v>
      </c>
      <c r="B1" t="s">
        <v>1</v>
      </c>
      <c r="C1" t="s">
        <v>2</v>
      </c>
      <c r="D1" t="s">
        <v>3</v>
      </c>
      <c r="E1" t="s">
        <v>4</v>
      </c>
      <c r="F1" t="s">
        <v>5</v>
      </c>
      <c r="G1" t="s">
        <v>6</v>
      </c>
      <c r="H1" s="7" t="s">
        <v>7</v>
      </c>
      <c r="I1" t="s">
        <v>8</v>
      </c>
      <c r="J1" t="s">
        <v>9</v>
      </c>
      <c r="K1" s="1" t="s">
        <v>10</v>
      </c>
      <c r="L1" t="s">
        <v>11</v>
      </c>
      <c r="M1" t="s">
        <v>12</v>
      </c>
      <c r="N1" t="s">
        <v>13</v>
      </c>
      <c r="O1" t="s">
        <v>14</v>
      </c>
      <c r="P1" s="2" t="s">
        <v>15</v>
      </c>
      <c r="Q1" t="s">
        <v>16</v>
      </c>
    </row>
    <row r="2" spans="1:17" x14ac:dyDescent="0.3">
      <c r="A2" t="s">
        <v>17</v>
      </c>
      <c r="B2" t="s">
        <v>18</v>
      </c>
      <c r="C2" t="s">
        <v>19</v>
      </c>
      <c r="D2" t="s">
        <v>20</v>
      </c>
      <c r="E2" t="s">
        <v>21</v>
      </c>
      <c r="F2" s="8">
        <v>15</v>
      </c>
      <c r="G2" t="s">
        <v>22</v>
      </c>
      <c r="H2" s="7">
        <v>0</v>
      </c>
      <c r="I2">
        <v>29</v>
      </c>
      <c r="J2">
        <v>210</v>
      </c>
      <c r="K2" s="1">
        <v>46130</v>
      </c>
      <c r="L2">
        <v>52</v>
      </c>
      <c r="M2" t="s">
        <v>23</v>
      </c>
      <c r="N2" t="s">
        <v>24</v>
      </c>
      <c r="O2">
        <v>5</v>
      </c>
      <c r="P2" s="2">
        <v>0</v>
      </c>
      <c r="Q2" t="s">
        <v>25</v>
      </c>
    </row>
    <row r="3" spans="1:17" x14ac:dyDescent="0.3">
      <c r="A3" t="s">
        <v>26</v>
      </c>
      <c r="B3" t="s">
        <v>27</v>
      </c>
      <c r="C3" t="s">
        <v>28</v>
      </c>
      <c r="D3" t="s">
        <v>29</v>
      </c>
      <c r="E3" t="s">
        <v>21</v>
      </c>
      <c r="F3" s="8">
        <v>18</v>
      </c>
      <c r="G3" t="s">
        <v>30</v>
      </c>
      <c r="H3" s="7">
        <v>405</v>
      </c>
      <c r="I3">
        <v>63</v>
      </c>
      <c r="J3">
        <v>316</v>
      </c>
      <c r="K3" s="1">
        <v>45266</v>
      </c>
      <c r="L3">
        <v>-812</v>
      </c>
      <c r="M3" t="s">
        <v>31</v>
      </c>
      <c r="N3" t="s">
        <v>24</v>
      </c>
      <c r="O3">
        <v>5</v>
      </c>
      <c r="P3" s="2">
        <v>7290</v>
      </c>
      <c r="Q3" t="s">
        <v>753</v>
      </c>
    </row>
    <row r="4" spans="1:17" x14ac:dyDescent="0.3">
      <c r="A4" t="s">
        <v>33</v>
      </c>
      <c r="B4" t="s">
        <v>34</v>
      </c>
      <c r="C4" t="s">
        <v>35</v>
      </c>
      <c r="D4" t="s">
        <v>36</v>
      </c>
      <c r="E4" t="s">
        <v>21</v>
      </c>
      <c r="F4" s="8">
        <v>5.5</v>
      </c>
      <c r="G4" t="s">
        <v>37</v>
      </c>
      <c r="H4" s="7">
        <v>409</v>
      </c>
      <c r="I4">
        <v>75</v>
      </c>
      <c r="J4">
        <v>155</v>
      </c>
      <c r="K4" s="1">
        <v>46037</v>
      </c>
      <c r="L4">
        <v>-41</v>
      </c>
      <c r="M4" t="s">
        <v>38</v>
      </c>
      <c r="N4" t="s">
        <v>24</v>
      </c>
      <c r="O4">
        <v>5</v>
      </c>
      <c r="P4" s="2">
        <v>2249.5</v>
      </c>
      <c r="Q4" t="s">
        <v>753</v>
      </c>
    </row>
    <row r="5" spans="1:17" x14ac:dyDescent="0.3">
      <c r="A5" t="s">
        <v>39</v>
      </c>
      <c r="B5" t="s">
        <v>40</v>
      </c>
      <c r="C5" t="s">
        <v>41</v>
      </c>
      <c r="D5" t="s">
        <v>42</v>
      </c>
      <c r="E5" t="s">
        <v>21</v>
      </c>
      <c r="F5" s="8">
        <v>4.5</v>
      </c>
      <c r="G5" t="s">
        <v>43</v>
      </c>
      <c r="H5" s="7">
        <v>496</v>
      </c>
      <c r="I5">
        <v>25</v>
      </c>
      <c r="J5">
        <v>221</v>
      </c>
      <c r="K5" s="1">
        <v>45480</v>
      </c>
      <c r="L5">
        <v>-598</v>
      </c>
      <c r="M5" t="s">
        <v>44</v>
      </c>
      <c r="N5" t="s">
        <v>24</v>
      </c>
      <c r="O5">
        <v>5</v>
      </c>
      <c r="P5" s="2">
        <v>2232</v>
      </c>
      <c r="Q5" t="s">
        <v>753</v>
      </c>
    </row>
    <row r="6" spans="1:17" x14ac:dyDescent="0.3">
      <c r="A6" t="s">
        <v>45</v>
      </c>
      <c r="B6" t="s">
        <v>46</v>
      </c>
      <c r="C6" t="s">
        <v>47</v>
      </c>
      <c r="D6" t="s">
        <v>29</v>
      </c>
      <c r="E6" t="s">
        <v>21</v>
      </c>
      <c r="F6" s="8">
        <v>28</v>
      </c>
      <c r="G6" t="s">
        <v>48</v>
      </c>
      <c r="H6" s="7">
        <v>31</v>
      </c>
      <c r="I6">
        <v>67</v>
      </c>
      <c r="J6">
        <v>260</v>
      </c>
      <c r="K6" s="1">
        <v>46410</v>
      </c>
      <c r="L6">
        <v>332</v>
      </c>
      <c r="M6" t="s">
        <v>49</v>
      </c>
      <c r="N6" t="s">
        <v>24</v>
      </c>
      <c r="O6">
        <v>5</v>
      </c>
      <c r="P6" s="2">
        <v>868</v>
      </c>
      <c r="Q6" t="s">
        <v>50</v>
      </c>
    </row>
    <row r="7" spans="1:17" x14ac:dyDescent="0.3">
      <c r="A7" t="s">
        <v>51</v>
      </c>
      <c r="B7" t="s">
        <v>52</v>
      </c>
      <c r="C7" t="s">
        <v>53</v>
      </c>
      <c r="D7" t="s">
        <v>54</v>
      </c>
      <c r="E7" t="s">
        <v>21</v>
      </c>
      <c r="F7" s="8">
        <v>18</v>
      </c>
      <c r="G7" t="s">
        <v>55</v>
      </c>
      <c r="H7" s="7">
        <v>470</v>
      </c>
      <c r="I7">
        <v>74</v>
      </c>
      <c r="J7">
        <v>371</v>
      </c>
      <c r="K7" s="1">
        <v>46145</v>
      </c>
      <c r="L7">
        <v>67</v>
      </c>
      <c r="M7" t="s">
        <v>44</v>
      </c>
      <c r="N7" t="s">
        <v>24</v>
      </c>
      <c r="O7">
        <v>5</v>
      </c>
      <c r="P7" s="2">
        <v>8460</v>
      </c>
      <c r="Q7" t="s">
        <v>32</v>
      </c>
    </row>
    <row r="8" spans="1:17" x14ac:dyDescent="0.3">
      <c r="A8" t="s">
        <v>56</v>
      </c>
      <c r="B8" t="s">
        <v>57</v>
      </c>
      <c r="C8" t="s">
        <v>58</v>
      </c>
      <c r="D8" t="s">
        <v>59</v>
      </c>
      <c r="E8" t="s">
        <v>60</v>
      </c>
      <c r="F8" s="8">
        <v>55</v>
      </c>
      <c r="G8" t="s">
        <v>61</v>
      </c>
      <c r="H8" s="7">
        <v>35</v>
      </c>
      <c r="I8">
        <v>58</v>
      </c>
      <c r="J8">
        <v>134</v>
      </c>
      <c r="K8" s="1">
        <v>45192</v>
      </c>
      <c r="L8">
        <v>-886</v>
      </c>
      <c r="M8" t="s">
        <v>38</v>
      </c>
      <c r="N8" t="s">
        <v>24</v>
      </c>
      <c r="O8">
        <v>5</v>
      </c>
      <c r="P8" s="2">
        <v>1925</v>
      </c>
      <c r="Q8" t="s">
        <v>50</v>
      </c>
    </row>
    <row r="9" spans="1:17" x14ac:dyDescent="0.3">
      <c r="A9" t="s">
        <v>62</v>
      </c>
      <c r="B9" t="s">
        <v>63</v>
      </c>
      <c r="C9" t="s">
        <v>64</v>
      </c>
      <c r="D9" t="s">
        <v>65</v>
      </c>
      <c r="E9" t="s">
        <v>21</v>
      </c>
      <c r="F9" s="8">
        <v>5</v>
      </c>
      <c r="G9" t="s">
        <v>66</v>
      </c>
      <c r="H9" s="7">
        <v>326</v>
      </c>
      <c r="I9">
        <v>36</v>
      </c>
      <c r="J9">
        <v>182</v>
      </c>
      <c r="K9" s="1">
        <v>45451</v>
      </c>
      <c r="L9">
        <v>-627</v>
      </c>
      <c r="M9" t="s">
        <v>67</v>
      </c>
      <c r="N9" t="s">
        <v>24</v>
      </c>
      <c r="O9">
        <v>5</v>
      </c>
      <c r="P9" s="2">
        <v>1630</v>
      </c>
      <c r="Q9" t="s">
        <v>753</v>
      </c>
    </row>
    <row r="10" spans="1:17" x14ac:dyDescent="0.3">
      <c r="A10" t="s">
        <v>17</v>
      </c>
      <c r="B10" t="s">
        <v>18</v>
      </c>
      <c r="C10" t="s">
        <v>19</v>
      </c>
      <c r="D10" t="s">
        <v>20</v>
      </c>
      <c r="E10" t="s">
        <v>21</v>
      </c>
      <c r="F10" s="8">
        <v>15</v>
      </c>
      <c r="G10" t="s">
        <v>68</v>
      </c>
      <c r="H10" s="7">
        <v>75</v>
      </c>
      <c r="I10">
        <v>47</v>
      </c>
      <c r="J10">
        <v>165</v>
      </c>
      <c r="K10" s="1">
        <v>46253</v>
      </c>
      <c r="L10">
        <v>175</v>
      </c>
      <c r="M10" t="s">
        <v>49</v>
      </c>
      <c r="N10" t="s">
        <v>24</v>
      </c>
      <c r="O10">
        <v>5</v>
      </c>
      <c r="P10" s="2">
        <v>1125</v>
      </c>
      <c r="Q10" t="s">
        <v>69</v>
      </c>
    </row>
    <row r="11" spans="1:17" x14ac:dyDescent="0.3">
      <c r="A11" t="s">
        <v>70</v>
      </c>
      <c r="B11" t="s">
        <v>71</v>
      </c>
      <c r="C11" t="s">
        <v>72</v>
      </c>
      <c r="D11" t="s">
        <v>73</v>
      </c>
      <c r="E11" t="s">
        <v>21</v>
      </c>
      <c r="F11" s="8">
        <v>11</v>
      </c>
      <c r="G11" t="s">
        <v>74</v>
      </c>
      <c r="H11" s="7">
        <v>418</v>
      </c>
      <c r="I11">
        <v>78</v>
      </c>
      <c r="J11">
        <v>335</v>
      </c>
      <c r="K11" s="1">
        <v>45337</v>
      </c>
      <c r="L11">
        <v>-741</v>
      </c>
      <c r="M11" t="s">
        <v>23</v>
      </c>
      <c r="N11" t="s">
        <v>24</v>
      </c>
      <c r="O11">
        <v>5</v>
      </c>
      <c r="P11" s="2">
        <v>4598</v>
      </c>
      <c r="Q11" t="s">
        <v>753</v>
      </c>
    </row>
    <row r="12" spans="1:17" x14ac:dyDescent="0.3">
      <c r="A12" t="s">
        <v>75</v>
      </c>
      <c r="B12" t="s">
        <v>76</v>
      </c>
      <c r="C12" t="s">
        <v>77</v>
      </c>
      <c r="D12" t="s">
        <v>78</v>
      </c>
      <c r="E12" t="s">
        <v>21</v>
      </c>
      <c r="F12" s="8">
        <v>10.5</v>
      </c>
      <c r="G12" t="s">
        <v>79</v>
      </c>
      <c r="H12" s="7">
        <v>176</v>
      </c>
      <c r="I12">
        <v>66</v>
      </c>
      <c r="J12">
        <v>260</v>
      </c>
      <c r="K12" s="1">
        <v>46084</v>
      </c>
      <c r="L12">
        <v>6</v>
      </c>
      <c r="M12" t="s">
        <v>80</v>
      </c>
      <c r="N12" t="s">
        <v>24</v>
      </c>
      <c r="O12">
        <v>5</v>
      </c>
      <c r="P12" s="2">
        <v>1848</v>
      </c>
      <c r="Q12" t="s">
        <v>32</v>
      </c>
    </row>
    <row r="13" spans="1:17" x14ac:dyDescent="0.3">
      <c r="A13" t="s">
        <v>26</v>
      </c>
      <c r="B13" t="s">
        <v>27</v>
      </c>
      <c r="C13" t="s">
        <v>28</v>
      </c>
      <c r="D13" t="s">
        <v>29</v>
      </c>
      <c r="E13" t="s">
        <v>21</v>
      </c>
      <c r="F13" s="8">
        <v>18</v>
      </c>
      <c r="G13" t="s">
        <v>81</v>
      </c>
      <c r="H13" s="7">
        <v>473</v>
      </c>
      <c r="I13">
        <v>71</v>
      </c>
      <c r="J13">
        <v>375</v>
      </c>
      <c r="K13" s="1">
        <v>45658</v>
      </c>
      <c r="L13">
        <v>-420</v>
      </c>
      <c r="M13" t="s">
        <v>38</v>
      </c>
      <c r="N13" t="s">
        <v>24</v>
      </c>
      <c r="O13">
        <v>5</v>
      </c>
      <c r="P13" s="2">
        <v>8514</v>
      </c>
      <c r="Q13" t="s">
        <v>753</v>
      </c>
    </row>
    <row r="14" spans="1:17" x14ac:dyDescent="0.3">
      <c r="A14" t="s">
        <v>82</v>
      </c>
      <c r="B14" t="s">
        <v>83</v>
      </c>
      <c r="C14" t="s">
        <v>84</v>
      </c>
      <c r="D14" t="s">
        <v>29</v>
      </c>
      <c r="E14" t="s">
        <v>85</v>
      </c>
      <c r="F14" s="8">
        <v>12.5</v>
      </c>
      <c r="G14" t="s">
        <v>86</v>
      </c>
      <c r="H14" s="7">
        <v>0</v>
      </c>
      <c r="I14">
        <v>28</v>
      </c>
      <c r="J14">
        <v>152</v>
      </c>
      <c r="K14" s="1">
        <v>46118</v>
      </c>
      <c r="L14">
        <v>40</v>
      </c>
      <c r="M14" t="s">
        <v>87</v>
      </c>
      <c r="N14" t="s">
        <v>88</v>
      </c>
      <c r="O14">
        <v>4</v>
      </c>
      <c r="P14" s="2">
        <v>0</v>
      </c>
      <c r="Q14" t="s">
        <v>25</v>
      </c>
    </row>
    <row r="15" spans="1:17" x14ac:dyDescent="0.3">
      <c r="A15" t="s">
        <v>62</v>
      </c>
      <c r="B15" t="s">
        <v>63</v>
      </c>
      <c r="C15" t="s">
        <v>64</v>
      </c>
      <c r="D15" t="s">
        <v>65</v>
      </c>
      <c r="E15" t="s">
        <v>21</v>
      </c>
      <c r="F15" s="8">
        <v>5</v>
      </c>
      <c r="G15" t="s">
        <v>89</v>
      </c>
      <c r="H15" s="7">
        <v>0</v>
      </c>
      <c r="I15">
        <v>33</v>
      </c>
      <c r="J15">
        <v>219</v>
      </c>
      <c r="K15" s="1">
        <v>46090</v>
      </c>
      <c r="L15">
        <v>12</v>
      </c>
      <c r="M15" t="s">
        <v>87</v>
      </c>
      <c r="N15" t="s">
        <v>88</v>
      </c>
      <c r="O15">
        <v>4</v>
      </c>
      <c r="P15" s="2">
        <v>0</v>
      </c>
      <c r="Q15" t="s">
        <v>25</v>
      </c>
    </row>
    <row r="16" spans="1:17" x14ac:dyDescent="0.3">
      <c r="A16" t="s">
        <v>90</v>
      </c>
      <c r="B16" t="s">
        <v>91</v>
      </c>
      <c r="C16" t="s">
        <v>92</v>
      </c>
      <c r="D16" t="s">
        <v>78</v>
      </c>
      <c r="E16" t="s">
        <v>85</v>
      </c>
      <c r="F16" s="8">
        <v>9</v>
      </c>
      <c r="G16" t="s">
        <v>93</v>
      </c>
      <c r="H16" s="7">
        <v>0</v>
      </c>
      <c r="I16">
        <v>42</v>
      </c>
      <c r="J16">
        <v>235</v>
      </c>
      <c r="K16" s="1">
        <v>46132</v>
      </c>
      <c r="L16">
        <v>54</v>
      </c>
      <c r="M16" t="s">
        <v>49</v>
      </c>
      <c r="N16" t="s">
        <v>88</v>
      </c>
      <c r="O16">
        <v>4</v>
      </c>
      <c r="P16" s="2">
        <v>0</v>
      </c>
      <c r="Q16" t="s">
        <v>25</v>
      </c>
    </row>
    <row r="17" spans="1:17" x14ac:dyDescent="0.3">
      <c r="A17" t="s">
        <v>94</v>
      </c>
      <c r="B17" t="s">
        <v>95</v>
      </c>
      <c r="C17" t="s">
        <v>96</v>
      </c>
      <c r="D17" t="s">
        <v>97</v>
      </c>
      <c r="E17" t="s">
        <v>21</v>
      </c>
      <c r="F17" s="8">
        <v>6.5</v>
      </c>
      <c r="G17" t="s">
        <v>98</v>
      </c>
      <c r="H17" s="7">
        <v>40</v>
      </c>
      <c r="I17">
        <v>74</v>
      </c>
      <c r="J17">
        <v>219</v>
      </c>
      <c r="K17" s="1">
        <v>46124</v>
      </c>
      <c r="L17">
        <v>46</v>
      </c>
      <c r="M17" t="s">
        <v>31</v>
      </c>
      <c r="N17" t="s">
        <v>88</v>
      </c>
      <c r="O17">
        <v>4</v>
      </c>
      <c r="P17" s="2">
        <v>260</v>
      </c>
      <c r="Q17" t="s">
        <v>50</v>
      </c>
    </row>
    <row r="18" spans="1:17" x14ac:dyDescent="0.3">
      <c r="A18" t="s">
        <v>70</v>
      </c>
      <c r="B18" t="s">
        <v>71</v>
      </c>
      <c r="C18" t="s">
        <v>72</v>
      </c>
      <c r="D18" t="s">
        <v>73</v>
      </c>
      <c r="E18" t="s">
        <v>21</v>
      </c>
      <c r="F18" s="8">
        <v>11</v>
      </c>
      <c r="G18" t="s">
        <v>99</v>
      </c>
      <c r="H18" s="7">
        <v>273</v>
      </c>
      <c r="I18">
        <v>66</v>
      </c>
      <c r="J18">
        <v>225</v>
      </c>
      <c r="K18" s="1">
        <v>45760</v>
      </c>
      <c r="L18">
        <v>-318</v>
      </c>
      <c r="M18" t="s">
        <v>44</v>
      </c>
      <c r="N18" t="s">
        <v>88</v>
      </c>
      <c r="O18">
        <v>4</v>
      </c>
      <c r="P18" s="2">
        <v>3003</v>
      </c>
      <c r="Q18" t="s">
        <v>753</v>
      </c>
    </row>
    <row r="19" spans="1:17" x14ac:dyDescent="0.3">
      <c r="A19" t="s">
        <v>100</v>
      </c>
      <c r="B19" t="s">
        <v>101</v>
      </c>
      <c r="C19" t="s">
        <v>102</v>
      </c>
      <c r="D19" t="s">
        <v>103</v>
      </c>
      <c r="E19" t="s">
        <v>85</v>
      </c>
      <c r="F19" s="8">
        <v>25</v>
      </c>
      <c r="G19" t="s">
        <v>104</v>
      </c>
      <c r="H19" s="7">
        <v>393</v>
      </c>
      <c r="I19">
        <v>61</v>
      </c>
      <c r="J19">
        <v>274</v>
      </c>
      <c r="K19" s="1">
        <v>45841</v>
      </c>
      <c r="L19">
        <v>-237</v>
      </c>
      <c r="M19" t="s">
        <v>31</v>
      </c>
      <c r="N19" t="s">
        <v>88</v>
      </c>
      <c r="O19">
        <v>4</v>
      </c>
      <c r="P19" s="2">
        <v>9825</v>
      </c>
      <c r="Q19" t="s">
        <v>753</v>
      </c>
    </row>
    <row r="20" spans="1:17" x14ac:dyDescent="0.3">
      <c r="A20" t="s">
        <v>105</v>
      </c>
      <c r="B20" t="s">
        <v>106</v>
      </c>
      <c r="C20" t="s">
        <v>107</v>
      </c>
      <c r="D20" t="s">
        <v>29</v>
      </c>
      <c r="E20" t="s">
        <v>21</v>
      </c>
      <c r="F20" s="8">
        <v>7.5</v>
      </c>
      <c r="G20" t="s">
        <v>108</v>
      </c>
      <c r="H20" s="7">
        <v>65</v>
      </c>
      <c r="I20">
        <v>62</v>
      </c>
      <c r="J20">
        <v>343</v>
      </c>
      <c r="K20" s="1">
        <v>45894</v>
      </c>
      <c r="L20">
        <v>-184</v>
      </c>
      <c r="M20" t="s">
        <v>87</v>
      </c>
      <c r="N20" t="s">
        <v>88</v>
      </c>
      <c r="O20">
        <v>4</v>
      </c>
      <c r="P20" s="2">
        <v>487.5</v>
      </c>
      <c r="Q20" t="s">
        <v>753</v>
      </c>
    </row>
    <row r="21" spans="1:17" x14ac:dyDescent="0.3">
      <c r="A21" t="s">
        <v>109</v>
      </c>
      <c r="B21" t="s">
        <v>110</v>
      </c>
      <c r="C21" t="s">
        <v>111</v>
      </c>
      <c r="D21" t="s">
        <v>112</v>
      </c>
      <c r="E21" t="s">
        <v>85</v>
      </c>
      <c r="F21" s="8">
        <v>30</v>
      </c>
      <c r="G21" t="s">
        <v>113</v>
      </c>
      <c r="H21" s="7">
        <v>173</v>
      </c>
      <c r="I21">
        <v>21</v>
      </c>
      <c r="J21">
        <v>383</v>
      </c>
      <c r="K21" s="1">
        <v>45157</v>
      </c>
      <c r="L21">
        <v>-921</v>
      </c>
      <c r="M21" t="s">
        <v>38</v>
      </c>
      <c r="N21" t="s">
        <v>88</v>
      </c>
      <c r="O21">
        <v>4</v>
      </c>
      <c r="P21" s="2">
        <v>5190</v>
      </c>
      <c r="Q21" t="s">
        <v>753</v>
      </c>
    </row>
    <row r="22" spans="1:17" x14ac:dyDescent="0.3">
      <c r="A22" t="s">
        <v>114</v>
      </c>
      <c r="B22" t="s">
        <v>115</v>
      </c>
      <c r="C22" t="s">
        <v>116</v>
      </c>
      <c r="D22" t="s">
        <v>117</v>
      </c>
      <c r="E22" t="s">
        <v>21</v>
      </c>
      <c r="F22" s="8">
        <v>7</v>
      </c>
      <c r="G22" t="s">
        <v>118</v>
      </c>
      <c r="H22" s="7">
        <v>36</v>
      </c>
      <c r="I22">
        <v>52</v>
      </c>
      <c r="J22">
        <v>221</v>
      </c>
      <c r="K22" s="1">
        <v>46172</v>
      </c>
      <c r="L22">
        <v>94</v>
      </c>
      <c r="M22" t="s">
        <v>119</v>
      </c>
      <c r="N22" t="s">
        <v>88</v>
      </c>
      <c r="O22">
        <v>4</v>
      </c>
      <c r="P22" s="2">
        <v>252</v>
      </c>
      <c r="Q22" t="s">
        <v>50</v>
      </c>
    </row>
    <row r="23" spans="1:17" x14ac:dyDescent="0.3">
      <c r="A23" t="s">
        <v>120</v>
      </c>
      <c r="B23" t="s">
        <v>121</v>
      </c>
      <c r="C23" t="s">
        <v>28</v>
      </c>
      <c r="D23" t="s">
        <v>29</v>
      </c>
      <c r="E23" t="s">
        <v>122</v>
      </c>
      <c r="F23" s="8">
        <v>35</v>
      </c>
      <c r="G23" t="s">
        <v>123</v>
      </c>
      <c r="H23" s="7">
        <v>455</v>
      </c>
      <c r="I23">
        <v>26</v>
      </c>
      <c r="J23">
        <v>383</v>
      </c>
      <c r="K23" s="1">
        <v>45197</v>
      </c>
      <c r="L23">
        <v>-881</v>
      </c>
      <c r="M23" t="s">
        <v>44</v>
      </c>
      <c r="N23" t="s">
        <v>88</v>
      </c>
      <c r="O23">
        <v>4</v>
      </c>
      <c r="P23" s="2">
        <v>15925</v>
      </c>
      <c r="Q23" t="s">
        <v>753</v>
      </c>
    </row>
    <row r="24" spans="1:17" x14ac:dyDescent="0.3">
      <c r="A24" t="s">
        <v>124</v>
      </c>
      <c r="B24" t="s">
        <v>125</v>
      </c>
      <c r="C24" t="s">
        <v>126</v>
      </c>
      <c r="D24" t="s">
        <v>29</v>
      </c>
      <c r="E24" t="s">
        <v>21</v>
      </c>
      <c r="F24" s="8">
        <v>22</v>
      </c>
      <c r="G24" t="s">
        <v>127</v>
      </c>
      <c r="H24" s="7">
        <v>452</v>
      </c>
      <c r="I24">
        <v>75</v>
      </c>
      <c r="J24">
        <v>308</v>
      </c>
      <c r="K24" s="1">
        <v>46455</v>
      </c>
      <c r="L24">
        <v>377</v>
      </c>
      <c r="M24" t="s">
        <v>44</v>
      </c>
      <c r="N24" t="s">
        <v>88</v>
      </c>
      <c r="O24">
        <v>4</v>
      </c>
      <c r="P24" s="2">
        <v>9944</v>
      </c>
      <c r="Q24" t="s">
        <v>69</v>
      </c>
    </row>
    <row r="25" spans="1:17" x14ac:dyDescent="0.3">
      <c r="A25" t="s">
        <v>128</v>
      </c>
      <c r="B25" t="s">
        <v>129</v>
      </c>
      <c r="C25" t="s">
        <v>130</v>
      </c>
      <c r="D25" t="s">
        <v>131</v>
      </c>
      <c r="E25" t="s">
        <v>21</v>
      </c>
      <c r="F25" s="8">
        <v>16</v>
      </c>
      <c r="G25" t="s">
        <v>132</v>
      </c>
      <c r="H25" s="7">
        <v>341</v>
      </c>
      <c r="I25">
        <v>53</v>
      </c>
      <c r="J25">
        <v>386</v>
      </c>
      <c r="K25" s="1">
        <v>45610</v>
      </c>
      <c r="L25">
        <v>-468</v>
      </c>
      <c r="M25" t="s">
        <v>23</v>
      </c>
      <c r="N25" t="s">
        <v>88</v>
      </c>
      <c r="O25">
        <v>4</v>
      </c>
      <c r="P25" s="2">
        <v>5456</v>
      </c>
      <c r="Q25" t="s">
        <v>753</v>
      </c>
    </row>
    <row r="26" spans="1:17" x14ac:dyDescent="0.3">
      <c r="A26" t="s">
        <v>56</v>
      </c>
      <c r="B26" t="s">
        <v>57</v>
      </c>
      <c r="C26" t="s">
        <v>58</v>
      </c>
      <c r="D26" t="s">
        <v>59</v>
      </c>
      <c r="E26" t="s">
        <v>60</v>
      </c>
      <c r="F26" s="8">
        <v>55</v>
      </c>
      <c r="G26" t="s">
        <v>133</v>
      </c>
      <c r="H26" s="7">
        <v>26</v>
      </c>
      <c r="I26">
        <v>80</v>
      </c>
      <c r="J26">
        <v>279</v>
      </c>
      <c r="K26" s="1">
        <v>45676</v>
      </c>
      <c r="L26">
        <v>-402</v>
      </c>
      <c r="M26" t="s">
        <v>38</v>
      </c>
      <c r="N26" t="s">
        <v>88</v>
      </c>
      <c r="O26">
        <v>4</v>
      </c>
      <c r="P26" s="2">
        <v>1430</v>
      </c>
      <c r="Q26" t="s">
        <v>50</v>
      </c>
    </row>
    <row r="27" spans="1:17" x14ac:dyDescent="0.3">
      <c r="A27" t="s">
        <v>134</v>
      </c>
      <c r="B27" t="s">
        <v>135</v>
      </c>
      <c r="C27" t="s">
        <v>136</v>
      </c>
      <c r="D27" t="s">
        <v>137</v>
      </c>
      <c r="E27" t="s">
        <v>60</v>
      </c>
      <c r="F27" s="8">
        <v>38</v>
      </c>
      <c r="G27" t="s">
        <v>138</v>
      </c>
      <c r="H27" s="7">
        <v>486</v>
      </c>
      <c r="I27">
        <v>35</v>
      </c>
      <c r="J27">
        <v>202</v>
      </c>
      <c r="K27" s="1">
        <v>44968</v>
      </c>
      <c r="L27">
        <v>-1110</v>
      </c>
      <c r="M27" t="s">
        <v>49</v>
      </c>
      <c r="N27" t="s">
        <v>88</v>
      </c>
      <c r="O27">
        <v>4</v>
      </c>
      <c r="P27" s="2">
        <v>18468</v>
      </c>
      <c r="Q27" t="s">
        <v>753</v>
      </c>
    </row>
    <row r="28" spans="1:17" x14ac:dyDescent="0.3">
      <c r="A28" t="s">
        <v>139</v>
      </c>
      <c r="B28" t="s">
        <v>140</v>
      </c>
      <c r="C28" t="s">
        <v>141</v>
      </c>
      <c r="D28" t="s">
        <v>78</v>
      </c>
      <c r="E28" t="s">
        <v>21</v>
      </c>
      <c r="F28" s="8">
        <v>6</v>
      </c>
      <c r="G28" t="s">
        <v>142</v>
      </c>
      <c r="H28" s="7">
        <v>430</v>
      </c>
      <c r="I28">
        <v>60</v>
      </c>
      <c r="J28">
        <v>359</v>
      </c>
      <c r="K28" s="1">
        <v>45400</v>
      </c>
      <c r="L28">
        <v>-678</v>
      </c>
      <c r="M28" t="s">
        <v>38</v>
      </c>
      <c r="N28" t="s">
        <v>143</v>
      </c>
      <c r="O28">
        <v>6</v>
      </c>
      <c r="P28" s="2">
        <v>2580</v>
      </c>
      <c r="Q28" t="s">
        <v>753</v>
      </c>
    </row>
    <row r="29" spans="1:17" x14ac:dyDescent="0.3">
      <c r="A29" t="s">
        <v>144</v>
      </c>
      <c r="B29" t="s">
        <v>145</v>
      </c>
      <c r="C29" t="s">
        <v>146</v>
      </c>
      <c r="D29" t="s">
        <v>147</v>
      </c>
      <c r="E29" t="s">
        <v>21</v>
      </c>
      <c r="F29" s="8">
        <v>20</v>
      </c>
      <c r="G29" t="s">
        <v>148</v>
      </c>
      <c r="H29" s="7">
        <v>276</v>
      </c>
      <c r="I29">
        <v>69</v>
      </c>
      <c r="J29">
        <v>371</v>
      </c>
      <c r="K29" s="1">
        <v>45890</v>
      </c>
      <c r="L29">
        <v>-188</v>
      </c>
      <c r="M29" t="s">
        <v>49</v>
      </c>
      <c r="N29" t="s">
        <v>143</v>
      </c>
      <c r="O29">
        <v>6</v>
      </c>
      <c r="P29" s="2">
        <v>5520</v>
      </c>
      <c r="Q29" t="s">
        <v>753</v>
      </c>
    </row>
    <row r="30" spans="1:17" x14ac:dyDescent="0.3">
      <c r="A30" t="s">
        <v>149</v>
      </c>
      <c r="B30" t="s">
        <v>150</v>
      </c>
      <c r="C30" t="s">
        <v>151</v>
      </c>
      <c r="D30" t="s">
        <v>152</v>
      </c>
      <c r="E30" t="s">
        <v>21</v>
      </c>
      <c r="F30" s="8">
        <v>11.5</v>
      </c>
      <c r="G30" t="s">
        <v>153</v>
      </c>
      <c r="H30" s="7">
        <v>216</v>
      </c>
      <c r="I30">
        <v>33</v>
      </c>
      <c r="J30">
        <v>376</v>
      </c>
      <c r="K30" s="1">
        <v>46197</v>
      </c>
      <c r="L30">
        <v>119</v>
      </c>
      <c r="M30" t="s">
        <v>38</v>
      </c>
      <c r="N30" t="s">
        <v>143</v>
      </c>
      <c r="O30">
        <v>6</v>
      </c>
      <c r="P30" s="2">
        <v>2484</v>
      </c>
      <c r="Q30" t="s">
        <v>69</v>
      </c>
    </row>
    <row r="31" spans="1:17" x14ac:dyDescent="0.3">
      <c r="A31" t="s">
        <v>154</v>
      </c>
      <c r="B31" t="s">
        <v>155</v>
      </c>
      <c r="C31" t="s">
        <v>156</v>
      </c>
      <c r="D31" t="s">
        <v>152</v>
      </c>
      <c r="E31" t="s">
        <v>157</v>
      </c>
      <c r="F31" s="8">
        <v>35</v>
      </c>
      <c r="G31" t="s">
        <v>158</v>
      </c>
      <c r="H31" s="7">
        <v>346</v>
      </c>
      <c r="I31">
        <v>67</v>
      </c>
      <c r="J31">
        <v>189</v>
      </c>
      <c r="K31" s="1">
        <v>45904</v>
      </c>
      <c r="L31">
        <v>-174</v>
      </c>
      <c r="M31" t="s">
        <v>119</v>
      </c>
      <c r="N31" t="s">
        <v>143</v>
      </c>
      <c r="O31">
        <v>6</v>
      </c>
      <c r="P31" s="2">
        <v>12110</v>
      </c>
      <c r="Q31" t="s">
        <v>753</v>
      </c>
    </row>
    <row r="32" spans="1:17" x14ac:dyDescent="0.3">
      <c r="A32" t="s">
        <v>105</v>
      </c>
      <c r="B32" t="s">
        <v>106</v>
      </c>
      <c r="C32" t="s">
        <v>107</v>
      </c>
      <c r="D32" t="s">
        <v>29</v>
      </c>
      <c r="E32" t="s">
        <v>21</v>
      </c>
      <c r="F32" s="8">
        <v>7.5</v>
      </c>
      <c r="G32" t="s">
        <v>159</v>
      </c>
      <c r="H32" s="7">
        <v>243</v>
      </c>
      <c r="I32">
        <v>59</v>
      </c>
      <c r="J32">
        <v>137</v>
      </c>
      <c r="K32" s="1">
        <v>45157</v>
      </c>
      <c r="L32">
        <v>-921</v>
      </c>
      <c r="M32" t="s">
        <v>67</v>
      </c>
      <c r="N32" t="s">
        <v>143</v>
      </c>
      <c r="O32">
        <v>6</v>
      </c>
      <c r="P32" s="2">
        <v>1822.5</v>
      </c>
      <c r="Q32" t="s">
        <v>753</v>
      </c>
    </row>
    <row r="33" spans="1:17" x14ac:dyDescent="0.3">
      <c r="A33" t="s">
        <v>160</v>
      </c>
      <c r="B33" t="s">
        <v>161</v>
      </c>
      <c r="C33" t="s">
        <v>162</v>
      </c>
      <c r="D33" t="s">
        <v>29</v>
      </c>
      <c r="E33" t="s">
        <v>157</v>
      </c>
      <c r="F33" s="8">
        <v>85</v>
      </c>
      <c r="G33" t="s">
        <v>163</v>
      </c>
      <c r="H33" s="7">
        <v>384</v>
      </c>
      <c r="I33">
        <v>35</v>
      </c>
      <c r="J33">
        <v>241</v>
      </c>
      <c r="K33" s="1">
        <v>45752</v>
      </c>
      <c r="L33">
        <v>-326</v>
      </c>
      <c r="M33" t="s">
        <v>87</v>
      </c>
      <c r="N33" t="s">
        <v>143</v>
      </c>
      <c r="O33">
        <v>6</v>
      </c>
      <c r="P33" s="2">
        <v>32640</v>
      </c>
      <c r="Q33" t="s">
        <v>753</v>
      </c>
    </row>
    <row r="34" spans="1:17" x14ac:dyDescent="0.3">
      <c r="A34" t="s">
        <v>164</v>
      </c>
      <c r="B34" t="s">
        <v>165</v>
      </c>
      <c r="C34" t="s">
        <v>166</v>
      </c>
      <c r="D34" t="s">
        <v>167</v>
      </c>
      <c r="E34" t="s">
        <v>168</v>
      </c>
      <c r="F34" s="8">
        <v>45</v>
      </c>
      <c r="G34" t="s">
        <v>169</v>
      </c>
      <c r="H34" s="7">
        <v>205</v>
      </c>
      <c r="I34">
        <v>37</v>
      </c>
      <c r="J34">
        <v>133</v>
      </c>
      <c r="K34" s="1">
        <v>46116</v>
      </c>
      <c r="L34">
        <v>38</v>
      </c>
      <c r="M34" t="s">
        <v>38</v>
      </c>
      <c r="N34" t="s">
        <v>170</v>
      </c>
      <c r="O34">
        <v>7</v>
      </c>
      <c r="P34" s="2">
        <v>9225</v>
      </c>
      <c r="Q34" t="s">
        <v>32</v>
      </c>
    </row>
    <row r="35" spans="1:17" x14ac:dyDescent="0.3">
      <c r="A35" t="s">
        <v>171</v>
      </c>
      <c r="B35" t="s">
        <v>172</v>
      </c>
      <c r="C35" t="s">
        <v>173</v>
      </c>
      <c r="D35" t="s">
        <v>174</v>
      </c>
      <c r="E35" t="s">
        <v>21</v>
      </c>
      <c r="F35" s="8">
        <v>9.5</v>
      </c>
      <c r="G35" t="s">
        <v>175</v>
      </c>
      <c r="H35" s="7">
        <v>484</v>
      </c>
      <c r="I35">
        <v>25</v>
      </c>
      <c r="J35">
        <v>143</v>
      </c>
      <c r="K35" s="1">
        <v>45903</v>
      </c>
      <c r="L35">
        <v>-175</v>
      </c>
      <c r="M35" t="s">
        <v>67</v>
      </c>
      <c r="N35" t="s">
        <v>170</v>
      </c>
      <c r="O35">
        <v>7</v>
      </c>
      <c r="P35" s="2">
        <v>4598</v>
      </c>
      <c r="Q35" t="s">
        <v>753</v>
      </c>
    </row>
    <row r="36" spans="1:17" x14ac:dyDescent="0.3">
      <c r="A36" t="s">
        <v>176</v>
      </c>
      <c r="B36" t="s">
        <v>177</v>
      </c>
      <c r="C36" t="s">
        <v>178</v>
      </c>
      <c r="D36" t="s">
        <v>147</v>
      </c>
      <c r="E36" t="s">
        <v>21</v>
      </c>
      <c r="F36" s="8">
        <v>4</v>
      </c>
      <c r="G36" t="s">
        <v>179</v>
      </c>
      <c r="H36" s="7">
        <v>97</v>
      </c>
      <c r="I36">
        <v>26</v>
      </c>
      <c r="J36">
        <v>149</v>
      </c>
      <c r="K36" s="1">
        <v>46300</v>
      </c>
      <c r="L36">
        <v>222</v>
      </c>
      <c r="M36" t="s">
        <v>80</v>
      </c>
      <c r="N36" t="s">
        <v>170</v>
      </c>
      <c r="O36">
        <v>7</v>
      </c>
      <c r="P36" s="2">
        <v>388</v>
      </c>
      <c r="Q36" t="s">
        <v>69</v>
      </c>
    </row>
    <row r="37" spans="1:17" x14ac:dyDescent="0.3">
      <c r="A37" t="s">
        <v>180</v>
      </c>
      <c r="B37" t="s">
        <v>181</v>
      </c>
      <c r="C37" t="s">
        <v>182</v>
      </c>
      <c r="D37" t="s">
        <v>183</v>
      </c>
      <c r="E37" t="s">
        <v>21</v>
      </c>
      <c r="F37" s="8">
        <v>12</v>
      </c>
      <c r="G37" t="s">
        <v>184</v>
      </c>
      <c r="H37" s="7">
        <v>71</v>
      </c>
      <c r="I37">
        <v>47</v>
      </c>
      <c r="J37">
        <v>193</v>
      </c>
      <c r="K37" s="1">
        <v>46023</v>
      </c>
      <c r="L37">
        <v>-55</v>
      </c>
      <c r="M37" t="s">
        <v>119</v>
      </c>
      <c r="N37" t="s">
        <v>170</v>
      </c>
      <c r="O37">
        <v>7</v>
      </c>
      <c r="P37" s="2">
        <v>852</v>
      </c>
      <c r="Q37" t="s">
        <v>753</v>
      </c>
    </row>
    <row r="38" spans="1:17" x14ac:dyDescent="0.3">
      <c r="A38" t="s">
        <v>185</v>
      </c>
      <c r="B38" t="s">
        <v>186</v>
      </c>
      <c r="C38" t="s">
        <v>187</v>
      </c>
      <c r="D38" t="s">
        <v>152</v>
      </c>
      <c r="E38" t="s">
        <v>188</v>
      </c>
      <c r="F38" s="8">
        <v>28</v>
      </c>
      <c r="G38" t="s">
        <v>189</v>
      </c>
      <c r="H38" s="7">
        <v>224</v>
      </c>
      <c r="I38">
        <v>73</v>
      </c>
      <c r="J38">
        <v>378</v>
      </c>
      <c r="K38" s="1">
        <v>45401</v>
      </c>
      <c r="L38">
        <v>-677</v>
      </c>
      <c r="M38" t="s">
        <v>119</v>
      </c>
      <c r="N38" t="s">
        <v>170</v>
      </c>
      <c r="O38">
        <v>7</v>
      </c>
      <c r="P38" s="2">
        <v>6272</v>
      </c>
      <c r="Q38" t="s">
        <v>753</v>
      </c>
    </row>
    <row r="39" spans="1:17" x14ac:dyDescent="0.3">
      <c r="A39" t="s">
        <v>94</v>
      </c>
      <c r="B39" t="s">
        <v>95</v>
      </c>
      <c r="C39" t="s">
        <v>96</v>
      </c>
      <c r="D39" t="s">
        <v>97</v>
      </c>
      <c r="E39" t="s">
        <v>21</v>
      </c>
      <c r="F39" s="8">
        <v>6.5</v>
      </c>
      <c r="G39" t="s">
        <v>190</v>
      </c>
      <c r="H39" s="7">
        <v>451</v>
      </c>
      <c r="I39">
        <v>46</v>
      </c>
      <c r="J39">
        <v>112</v>
      </c>
      <c r="K39" s="1">
        <v>45929</v>
      </c>
      <c r="L39">
        <v>-149</v>
      </c>
      <c r="M39" t="s">
        <v>44</v>
      </c>
      <c r="N39" t="s">
        <v>170</v>
      </c>
      <c r="O39">
        <v>7</v>
      </c>
      <c r="P39" s="2">
        <v>2931.5</v>
      </c>
      <c r="Q39" t="s">
        <v>753</v>
      </c>
    </row>
    <row r="40" spans="1:17" x14ac:dyDescent="0.3">
      <c r="A40" t="s">
        <v>109</v>
      </c>
      <c r="B40" t="s">
        <v>110</v>
      </c>
      <c r="C40" t="s">
        <v>111</v>
      </c>
      <c r="D40" t="s">
        <v>112</v>
      </c>
      <c r="E40" t="s">
        <v>85</v>
      </c>
      <c r="F40" s="8">
        <v>30</v>
      </c>
      <c r="G40" t="s">
        <v>191</v>
      </c>
      <c r="H40" s="7">
        <v>237</v>
      </c>
      <c r="I40">
        <v>23</v>
      </c>
      <c r="J40">
        <v>385</v>
      </c>
      <c r="K40" s="1">
        <v>46480</v>
      </c>
      <c r="L40">
        <v>402</v>
      </c>
      <c r="M40" t="s">
        <v>38</v>
      </c>
      <c r="N40" t="s">
        <v>170</v>
      </c>
      <c r="O40">
        <v>7</v>
      </c>
      <c r="P40" s="2">
        <v>7110</v>
      </c>
      <c r="Q40" t="s">
        <v>69</v>
      </c>
    </row>
    <row r="41" spans="1:17" x14ac:dyDescent="0.3">
      <c r="A41" t="s">
        <v>75</v>
      </c>
      <c r="B41" t="s">
        <v>76</v>
      </c>
      <c r="C41" t="s">
        <v>77</v>
      </c>
      <c r="D41" t="s">
        <v>78</v>
      </c>
      <c r="E41" t="s">
        <v>21</v>
      </c>
      <c r="F41" s="8">
        <v>10.5</v>
      </c>
      <c r="G41" t="s">
        <v>192</v>
      </c>
      <c r="H41" s="7">
        <v>275</v>
      </c>
      <c r="I41">
        <v>36</v>
      </c>
      <c r="J41">
        <v>399</v>
      </c>
      <c r="K41" s="1">
        <v>45909</v>
      </c>
      <c r="L41">
        <v>-169</v>
      </c>
      <c r="M41" t="s">
        <v>80</v>
      </c>
      <c r="N41" t="s">
        <v>193</v>
      </c>
      <c r="O41">
        <v>8</v>
      </c>
      <c r="P41" s="2">
        <v>2887.5</v>
      </c>
      <c r="Q41" t="s">
        <v>753</v>
      </c>
    </row>
    <row r="42" spans="1:17" x14ac:dyDescent="0.3">
      <c r="A42" t="s">
        <v>154</v>
      </c>
      <c r="B42" t="s">
        <v>155</v>
      </c>
      <c r="C42" t="s">
        <v>156</v>
      </c>
      <c r="D42" t="s">
        <v>152</v>
      </c>
      <c r="E42" t="s">
        <v>157</v>
      </c>
      <c r="F42" s="8">
        <v>35</v>
      </c>
      <c r="G42" t="s">
        <v>194</v>
      </c>
      <c r="H42" s="7">
        <v>1</v>
      </c>
      <c r="I42">
        <v>66</v>
      </c>
      <c r="J42">
        <v>234</v>
      </c>
      <c r="K42" s="1">
        <v>45635</v>
      </c>
      <c r="L42">
        <v>-443</v>
      </c>
      <c r="M42" t="s">
        <v>87</v>
      </c>
      <c r="N42" t="s">
        <v>193</v>
      </c>
      <c r="O42">
        <v>8</v>
      </c>
      <c r="P42" s="2">
        <v>35</v>
      </c>
      <c r="Q42" t="s">
        <v>50</v>
      </c>
    </row>
    <row r="43" spans="1:17" x14ac:dyDescent="0.3">
      <c r="A43" t="s">
        <v>195</v>
      </c>
      <c r="B43" t="s">
        <v>196</v>
      </c>
      <c r="C43" t="s">
        <v>197</v>
      </c>
      <c r="D43" t="s">
        <v>59</v>
      </c>
      <c r="E43" t="s">
        <v>21</v>
      </c>
      <c r="F43" s="8">
        <v>3.5</v>
      </c>
      <c r="G43" t="s">
        <v>198</v>
      </c>
      <c r="H43" s="7">
        <v>224</v>
      </c>
      <c r="I43">
        <v>77</v>
      </c>
      <c r="J43">
        <v>364</v>
      </c>
      <c r="K43" s="1">
        <v>45979</v>
      </c>
      <c r="L43">
        <v>-99</v>
      </c>
      <c r="M43" t="s">
        <v>67</v>
      </c>
      <c r="N43" t="s">
        <v>193</v>
      </c>
      <c r="O43">
        <v>8</v>
      </c>
      <c r="P43" s="2">
        <v>784</v>
      </c>
      <c r="Q43" t="s">
        <v>753</v>
      </c>
    </row>
    <row r="44" spans="1:17" x14ac:dyDescent="0.3">
      <c r="A44" t="s">
        <v>199</v>
      </c>
      <c r="B44" t="s">
        <v>200</v>
      </c>
      <c r="C44" t="s">
        <v>201</v>
      </c>
      <c r="D44" t="s">
        <v>202</v>
      </c>
      <c r="E44" t="s">
        <v>203</v>
      </c>
      <c r="F44" s="8">
        <v>3.5</v>
      </c>
      <c r="G44" t="s">
        <v>204</v>
      </c>
      <c r="H44" s="7">
        <v>367</v>
      </c>
      <c r="I44">
        <v>41</v>
      </c>
      <c r="J44">
        <v>204</v>
      </c>
      <c r="K44" s="1">
        <v>45729</v>
      </c>
      <c r="L44">
        <v>-349</v>
      </c>
      <c r="M44" t="s">
        <v>119</v>
      </c>
      <c r="N44" t="s">
        <v>193</v>
      </c>
      <c r="O44">
        <v>8</v>
      </c>
      <c r="P44" s="2">
        <v>1284.5</v>
      </c>
      <c r="Q44" t="s">
        <v>753</v>
      </c>
    </row>
    <row r="45" spans="1:17" x14ac:dyDescent="0.3">
      <c r="A45" t="s">
        <v>90</v>
      </c>
      <c r="B45" t="s">
        <v>91</v>
      </c>
      <c r="C45" t="s">
        <v>92</v>
      </c>
      <c r="D45" t="s">
        <v>78</v>
      </c>
      <c r="E45" t="s">
        <v>85</v>
      </c>
      <c r="F45" s="8">
        <v>9</v>
      </c>
      <c r="G45" t="s">
        <v>205</v>
      </c>
      <c r="H45" s="7">
        <v>460</v>
      </c>
      <c r="I45">
        <v>42</v>
      </c>
      <c r="J45">
        <v>207</v>
      </c>
      <c r="K45" s="1">
        <v>45742</v>
      </c>
      <c r="L45">
        <v>-336</v>
      </c>
      <c r="M45" t="s">
        <v>38</v>
      </c>
      <c r="N45" t="s">
        <v>193</v>
      </c>
      <c r="O45">
        <v>8</v>
      </c>
      <c r="P45" s="2">
        <v>4140</v>
      </c>
      <c r="Q45" t="s">
        <v>753</v>
      </c>
    </row>
    <row r="46" spans="1:17" x14ac:dyDescent="0.3">
      <c r="A46" t="s">
        <v>206</v>
      </c>
      <c r="B46" t="s">
        <v>207</v>
      </c>
      <c r="C46" t="s">
        <v>208</v>
      </c>
      <c r="D46" t="s">
        <v>117</v>
      </c>
      <c r="E46" t="s">
        <v>157</v>
      </c>
      <c r="F46" s="8">
        <v>280</v>
      </c>
      <c r="G46" t="s">
        <v>209</v>
      </c>
      <c r="H46" s="7">
        <v>337</v>
      </c>
      <c r="I46">
        <v>32</v>
      </c>
      <c r="J46">
        <v>304</v>
      </c>
      <c r="K46" s="1">
        <v>45155</v>
      </c>
      <c r="L46">
        <v>-923</v>
      </c>
      <c r="M46" t="s">
        <v>87</v>
      </c>
      <c r="N46" t="s">
        <v>193</v>
      </c>
      <c r="O46">
        <v>8</v>
      </c>
      <c r="P46" s="2">
        <v>94360</v>
      </c>
      <c r="Q46" t="s">
        <v>753</v>
      </c>
    </row>
    <row r="47" spans="1:17" x14ac:dyDescent="0.3">
      <c r="A47" t="s">
        <v>164</v>
      </c>
      <c r="B47" t="s">
        <v>165</v>
      </c>
      <c r="C47" t="s">
        <v>166</v>
      </c>
      <c r="D47" t="s">
        <v>167</v>
      </c>
      <c r="E47" t="s">
        <v>168</v>
      </c>
      <c r="F47" s="8">
        <v>45</v>
      </c>
      <c r="G47" t="s">
        <v>210</v>
      </c>
      <c r="H47" s="7">
        <v>179</v>
      </c>
      <c r="I47">
        <v>61</v>
      </c>
      <c r="J47">
        <v>360</v>
      </c>
      <c r="K47" s="1">
        <v>46083</v>
      </c>
      <c r="L47">
        <v>5</v>
      </c>
      <c r="M47" t="s">
        <v>80</v>
      </c>
      <c r="N47" t="s">
        <v>193</v>
      </c>
      <c r="O47">
        <v>8</v>
      </c>
      <c r="P47" s="2">
        <v>8055</v>
      </c>
      <c r="Q47" t="s">
        <v>32</v>
      </c>
    </row>
    <row r="48" spans="1:17" x14ac:dyDescent="0.3">
      <c r="A48" t="s">
        <v>211</v>
      </c>
      <c r="B48" t="s">
        <v>212</v>
      </c>
      <c r="C48" t="s">
        <v>213</v>
      </c>
      <c r="D48" t="s">
        <v>29</v>
      </c>
      <c r="E48" t="s">
        <v>21</v>
      </c>
      <c r="F48" s="8">
        <v>19</v>
      </c>
      <c r="G48" t="s">
        <v>214</v>
      </c>
      <c r="H48" s="7">
        <v>41</v>
      </c>
      <c r="I48">
        <v>28</v>
      </c>
      <c r="J48">
        <v>177</v>
      </c>
      <c r="K48" s="1">
        <v>45984</v>
      </c>
      <c r="L48">
        <v>-94</v>
      </c>
      <c r="M48" t="s">
        <v>38</v>
      </c>
      <c r="N48" t="s">
        <v>193</v>
      </c>
      <c r="O48">
        <v>8</v>
      </c>
      <c r="P48" s="2">
        <v>779</v>
      </c>
      <c r="Q48" t="s">
        <v>753</v>
      </c>
    </row>
    <row r="49" spans="1:17" x14ac:dyDescent="0.3">
      <c r="A49" t="s">
        <v>39</v>
      </c>
      <c r="B49" t="s">
        <v>40</v>
      </c>
      <c r="C49" t="s">
        <v>41</v>
      </c>
      <c r="D49" t="s">
        <v>42</v>
      </c>
      <c r="E49" t="s">
        <v>21</v>
      </c>
      <c r="F49" s="8">
        <v>4.5</v>
      </c>
      <c r="G49" t="s">
        <v>215</v>
      </c>
      <c r="H49" s="7">
        <v>275</v>
      </c>
      <c r="I49">
        <v>67</v>
      </c>
      <c r="J49">
        <v>379</v>
      </c>
      <c r="K49" s="1">
        <v>46347</v>
      </c>
      <c r="L49">
        <v>269</v>
      </c>
      <c r="M49" t="s">
        <v>38</v>
      </c>
      <c r="N49" t="s">
        <v>193</v>
      </c>
      <c r="O49">
        <v>8</v>
      </c>
      <c r="P49" s="2">
        <v>1237.5</v>
      </c>
      <c r="Q49" t="s">
        <v>69</v>
      </c>
    </row>
    <row r="50" spans="1:17" x14ac:dyDescent="0.3">
      <c r="A50" t="s">
        <v>216</v>
      </c>
      <c r="B50" t="s">
        <v>217</v>
      </c>
      <c r="C50" t="s">
        <v>218</v>
      </c>
      <c r="D50" t="s">
        <v>219</v>
      </c>
      <c r="E50" t="s">
        <v>21</v>
      </c>
      <c r="F50" s="8">
        <v>10</v>
      </c>
      <c r="G50" t="s">
        <v>220</v>
      </c>
      <c r="H50" s="7">
        <v>475</v>
      </c>
      <c r="I50">
        <v>39</v>
      </c>
      <c r="J50">
        <v>394</v>
      </c>
      <c r="K50" s="1">
        <v>45519</v>
      </c>
      <c r="L50">
        <v>-559</v>
      </c>
      <c r="M50" t="s">
        <v>80</v>
      </c>
      <c r="N50" t="s">
        <v>193</v>
      </c>
      <c r="O50">
        <v>8</v>
      </c>
      <c r="P50" s="2">
        <v>4750</v>
      </c>
      <c r="Q50" t="s">
        <v>753</v>
      </c>
    </row>
    <row r="51" spans="1:17" x14ac:dyDescent="0.3">
      <c r="A51" t="s">
        <v>185</v>
      </c>
      <c r="B51" t="s">
        <v>186</v>
      </c>
      <c r="C51" t="s">
        <v>187</v>
      </c>
      <c r="D51" t="s">
        <v>152</v>
      </c>
      <c r="E51" t="s">
        <v>188</v>
      </c>
      <c r="F51" s="8">
        <v>28</v>
      </c>
      <c r="G51" t="s">
        <v>221</v>
      </c>
      <c r="H51" s="7">
        <v>407</v>
      </c>
      <c r="I51">
        <v>56</v>
      </c>
      <c r="J51">
        <v>121</v>
      </c>
      <c r="K51" s="1">
        <v>45541</v>
      </c>
      <c r="L51">
        <v>-537</v>
      </c>
      <c r="M51" t="s">
        <v>23</v>
      </c>
      <c r="N51" t="s">
        <v>193</v>
      </c>
      <c r="O51">
        <v>8</v>
      </c>
      <c r="P51" s="2">
        <v>11396</v>
      </c>
      <c r="Q51" t="s">
        <v>753</v>
      </c>
    </row>
    <row r="52" spans="1:17" x14ac:dyDescent="0.3">
      <c r="A52" t="s">
        <v>211</v>
      </c>
      <c r="B52" t="s">
        <v>212</v>
      </c>
      <c r="C52" t="s">
        <v>213</v>
      </c>
      <c r="D52" t="s">
        <v>29</v>
      </c>
      <c r="E52" t="s">
        <v>21</v>
      </c>
      <c r="F52" s="8">
        <v>19</v>
      </c>
      <c r="G52" t="s">
        <v>222</v>
      </c>
      <c r="H52" s="7">
        <v>442</v>
      </c>
      <c r="I52">
        <v>66</v>
      </c>
      <c r="J52">
        <v>127</v>
      </c>
      <c r="K52" s="1">
        <v>45894</v>
      </c>
      <c r="L52">
        <v>-184</v>
      </c>
      <c r="M52" t="s">
        <v>31</v>
      </c>
      <c r="N52" t="s">
        <v>223</v>
      </c>
      <c r="O52">
        <v>5</v>
      </c>
      <c r="P52" s="2">
        <v>8398</v>
      </c>
      <c r="Q52" t="s">
        <v>753</v>
      </c>
    </row>
    <row r="53" spans="1:17" x14ac:dyDescent="0.3">
      <c r="A53" t="s">
        <v>224</v>
      </c>
      <c r="B53" t="s">
        <v>225</v>
      </c>
      <c r="C53" t="s">
        <v>226</v>
      </c>
      <c r="D53" t="s">
        <v>227</v>
      </c>
      <c r="E53" t="s">
        <v>21</v>
      </c>
      <c r="F53" s="8">
        <v>9</v>
      </c>
      <c r="G53" t="s">
        <v>228</v>
      </c>
      <c r="H53" s="7">
        <v>67</v>
      </c>
      <c r="I53">
        <v>62</v>
      </c>
      <c r="J53">
        <v>253</v>
      </c>
      <c r="K53" s="1">
        <v>45745</v>
      </c>
      <c r="L53">
        <v>-333</v>
      </c>
      <c r="M53" t="s">
        <v>67</v>
      </c>
      <c r="N53" t="s">
        <v>223</v>
      </c>
      <c r="O53">
        <v>5</v>
      </c>
      <c r="P53" s="2">
        <v>603</v>
      </c>
      <c r="Q53" t="s">
        <v>753</v>
      </c>
    </row>
    <row r="54" spans="1:17" x14ac:dyDescent="0.3">
      <c r="A54" t="s">
        <v>216</v>
      </c>
      <c r="B54" t="s">
        <v>217</v>
      </c>
      <c r="C54" t="s">
        <v>218</v>
      </c>
      <c r="D54" t="s">
        <v>219</v>
      </c>
      <c r="E54" t="s">
        <v>21</v>
      </c>
      <c r="F54" s="8">
        <v>10</v>
      </c>
      <c r="G54" t="s">
        <v>229</v>
      </c>
      <c r="H54" s="7">
        <v>318</v>
      </c>
      <c r="I54">
        <v>56</v>
      </c>
      <c r="J54">
        <v>151</v>
      </c>
      <c r="K54" s="1">
        <v>45483</v>
      </c>
      <c r="L54">
        <v>-595</v>
      </c>
      <c r="M54" t="s">
        <v>31</v>
      </c>
      <c r="N54" t="s">
        <v>223</v>
      </c>
      <c r="O54">
        <v>5</v>
      </c>
      <c r="P54" s="2">
        <v>3180</v>
      </c>
      <c r="Q54" t="s">
        <v>753</v>
      </c>
    </row>
    <row r="55" spans="1:17" x14ac:dyDescent="0.3">
      <c r="A55" t="s">
        <v>230</v>
      </c>
      <c r="B55" t="s">
        <v>231</v>
      </c>
      <c r="C55" t="s">
        <v>232</v>
      </c>
      <c r="D55" t="s">
        <v>233</v>
      </c>
      <c r="E55" t="s">
        <v>21</v>
      </c>
      <c r="F55" s="8">
        <v>4.5</v>
      </c>
      <c r="G55" t="s">
        <v>234</v>
      </c>
      <c r="H55" s="7">
        <v>136</v>
      </c>
      <c r="I55">
        <v>30</v>
      </c>
      <c r="J55">
        <v>155</v>
      </c>
      <c r="K55" s="1">
        <v>45931</v>
      </c>
      <c r="L55">
        <v>-147</v>
      </c>
      <c r="M55" t="s">
        <v>80</v>
      </c>
      <c r="N55" t="s">
        <v>223</v>
      </c>
      <c r="O55">
        <v>5</v>
      </c>
      <c r="P55" s="2">
        <v>612</v>
      </c>
      <c r="Q55" t="s">
        <v>753</v>
      </c>
    </row>
    <row r="56" spans="1:17" x14ac:dyDescent="0.3">
      <c r="A56" t="s">
        <v>235</v>
      </c>
      <c r="B56" t="s">
        <v>236</v>
      </c>
      <c r="C56" t="s">
        <v>237</v>
      </c>
      <c r="D56" t="s">
        <v>73</v>
      </c>
      <c r="E56" t="s">
        <v>21</v>
      </c>
      <c r="F56" s="8">
        <v>14</v>
      </c>
      <c r="G56" t="s">
        <v>238</v>
      </c>
      <c r="H56" s="7">
        <v>319</v>
      </c>
      <c r="I56">
        <v>40</v>
      </c>
      <c r="J56">
        <v>163</v>
      </c>
      <c r="K56" s="1">
        <v>45363</v>
      </c>
      <c r="L56">
        <v>-715</v>
      </c>
      <c r="M56" t="s">
        <v>119</v>
      </c>
      <c r="N56" t="s">
        <v>223</v>
      </c>
      <c r="O56">
        <v>5</v>
      </c>
      <c r="P56" s="2">
        <v>4466</v>
      </c>
      <c r="Q56" t="s">
        <v>753</v>
      </c>
    </row>
    <row r="57" spans="1:17" x14ac:dyDescent="0.3">
      <c r="A57" t="s">
        <v>51</v>
      </c>
      <c r="B57" t="s">
        <v>52</v>
      </c>
      <c r="C57" t="s">
        <v>53</v>
      </c>
      <c r="D57" t="s">
        <v>54</v>
      </c>
      <c r="E57" t="s">
        <v>21</v>
      </c>
      <c r="F57" s="8">
        <v>18</v>
      </c>
      <c r="G57" t="s">
        <v>239</v>
      </c>
      <c r="H57" s="7">
        <v>142</v>
      </c>
      <c r="I57">
        <v>68</v>
      </c>
      <c r="J57">
        <v>315</v>
      </c>
      <c r="K57" s="1">
        <v>46253</v>
      </c>
      <c r="L57">
        <v>175</v>
      </c>
      <c r="M57" t="s">
        <v>119</v>
      </c>
      <c r="N57" t="s">
        <v>223</v>
      </c>
      <c r="O57">
        <v>5</v>
      </c>
      <c r="P57" s="2">
        <v>2556</v>
      </c>
      <c r="Q57" t="s">
        <v>69</v>
      </c>
    </row>
    <row r="58" spans="1:17" x14ac:dyDescent="0.3">
      <c r="A58" t="s">
        <v>230</v>
      </c>
      <c r="B58" t="s">
        <v>231</v>
      </c>
      <c r="C58" t="s">
        <v>232</v>
      </c>
      <c r="D58" t="s">
        <v>233</v>
      </c>
      <c r="E58" t="s">
        <v>21</v>
      </c>
      <c r="F58" s="8">
        <v>4.5</v>
      </c>
      <c r="G58" t="s">
        <v>240</v>
      </c>
      <c r="H58" s="7">
        <v>189</v>
      </c>
      <c r="I58">
        <v>42</v>
      </c>
      <c r="J58">
        <v>207</v>
      </c>
      <c r="K58" s="1">
        <v>46107</v>
      </c>
      <c r="L58">
        <v>29</v>
      </c>
      <c r="M58" t="s">
        <v>119</v>
      </c>
      <c r="N58" t="s">
        <v>241</v>
      </c>
      <c r="O58">
        <v>3</v>
      </c>
      <c r="P58" s="2">
        <v>850.5</v>
      </c>
      <c r="Q58" t="s">
        <v>32</v>
      </c>
    </row>
    <row r="59" spans="1:17" x14ac:dyDescent="0.3">
      <c r="A59" t="s">
        <v>235</v>
      </c>
      <c r="B59" t="s">
        <v>236</v>
      </c>
      <c r="C59" t="s">
        <v>237</v>
      </c>
      <c r="D59" t="s">
        <v>73</v>
      </c>
      <c r="E59" t="s">
        <v>21</v>
      </c>
      <c r="F59" s="8">
        <v>14</v>
      </c>
      <c r="G59" t="s">
        <v>242</v>
      </c>
      <c r="H59" s="7">
        <v>270</v>
      </c>
      <c r="I59">
        <v>36</v>
      </c>
      <c r="J59">
        <v>383</v>
      </c>
      <c r="K59" s="1">
        <v>46084</v>
      </c>
      <c r="L59">
        <v>6</v>
      </c>
      <c r="M59" t="s">
        <v>49</v>
      </c>
      <c r="N59" t="s">
        <v>241</v>
      </c>
      <c r="O59">
        <v>3</v>
      </c>
      <c r="P59" s="2">
        <v>3780</v>
      </c>
      <c r="Q59" t="s">
        <v>32</v>
      </c>
    </row>
    <row r="60" spans="1:17" x14ac:dyDescent="0.3">
      <c r="A60" t="s">
        <v>243</v>
      </c>
      <c r="B60" t="s">
        <v>244</v>
      </c>
      <c r="C60" t="s">
        <v>245</v>
      </c>
      <c r="D60" t="s">
        <v>42</v>
      </c>
      <c r="E60" t="s">
        <v>21</v>
      </c>
      <c r="F60" s="8">
        <v>6.5</v>
      </c>
      <c r="G60" t="s">
        <v>246</v>
      </c>
      <c r="H60" s="7">
        <v>442</v>
      </c>
      <c r="I60">
        <v>45</v>
      </c>
      <c r="J60">
        <v>130</v>
      </c>
      <c r="K60" s="1">
        <v>45602</v>
      </c>
      <c r="L60">
        <v>-476</v>
      </c>
      <c r="M60" t="s">
        <v>44</v>
      </c>
      <c r="N60" t="s">
        <v>241</v>
      </c>
      <c r="O60">
        <v>3</v>
      </c>
      <c r="P60" s="2">
        <v>2873</v>
      </c>
      <c r="Q60" t="s">
        <v>753</v>
      </c>
    </row>
    <row r="61" spans="1:17" x14ac:dyDescent="0.3">
      <c r="A61" t="s">
        <v>247</v>
      </c>
      <c r="B61" t="s">
        <v>248</v>
      </c>
      <c r="C61" t="s">
        <v>249</v>
      </c>
      <c r="D61" t="s">
        <v>78</v>
      </c>
      <c r="E61" t="s">
        <v>21</v>
      </c>
      <c r="F61" s="8">
        <v>11</v>
      </c>
      <c r="G61" t="s">
        <v>250</v>
      </c>
      <c r="H61" s="7">
        <v>474</v>
      </c>
      <c r="I61">
        <v>70</v>
      </c>
      <c r="J61">
        <v>332</v>
      </c>
      <c r="K61" s="1">
        <v>45691</v>
      </c>
      <c r="L61">
        <v>-387</v>
      </c>
      <c r="M61" t="s">
        <v>119</v>
      </c>
      <c r="N61" t="s">
        <v>241</v>
      </c>
      <c r="O61">
        <v>3</v>
      </c>
      <c r="P61" s="2">
        <v>5214</v>
      </c>
      <c r="Q61" t="s">
        <v>753</v>
      </c>
    </row>
    <row r="62" spans="1:17" x14ac:dyDescent="0.3">
      <c r="A62" t="s">
        <v>251</v>
      </c>
      <c r="B62" t="s">
        <v>252</v>
      </c>
      <c r="C62" t="s">
        <v>253</v>
      </c>
      <c r="D62" t="s">
        <v>174</v>
      </c>
      <c r="E62" t="s">
        <v>21</v>
      </c>
      <c r="F62" s="8">
        <v>22</v>
      </c>
      <c r="G62" t="s">
        <v>254</v>
      </c>
      <c r="H62" s="7">
        <v>79</v>
      </c>
      <c r="I62">
        <v>32</v>
      </c>
      <c r="J62">
        <v>251</v>
      </c>
      <c r="K62" s="1">
        <v>46151</v>
      </c>
      <c r="L62">
        <v>73</v>
      </c>
      <c r="M62" t="s">
        <v>38</v>
      </c>
      <c r="N62" t="s">
        <v>241</v>
      </c>
      <c r="O62">
        <v>3</v>
      </c>
      <c r="P62" s="2">
        <v>1738</v>
      </c>
      <c r="Q62" t="s">
        <v>32</v>
      </c>
    </row>
    <row r="63" spans="1:17" x14ac:dyDescent="0.3">
      <c r="A63" t="s">
        <v>134</v>
      </c>
      <c r="B63" t="s">
        <v>135</v>
      </c>
      <c r="C63" t="s">
        <v>136</v>
      </c>
      <c r="D63" t="s">
        <v>137</v>
      </c>
      <c r="E63" t="s">
        <v>60</v>
      </c>
      <c r="F63" s="8">
        <v>38</v>
      </c>
      <c r="G63" t="s">
        <v>255</v>
      </c>
      <c r="H63" s="7">
        <v>296</v>
      </c>
      <c r="I63">
        <v>58</v>
      </c>
      <c r="J63">
        <v>120</v>
      </c>
      <c r="K63" s="1">
        <v>45693</v>
      </c>
      <c r="L63">
        <v>-385</v>
      </c>
      <c r="M63" t="s">
        <v>31</v>
      </c>
      <c r="N63" t="s">
        <v>241</v>
      </c>
      <c r="O63">
        <v>3</v>
      </c>
      <c r="P63" s="2">
        <v>11248</v>
      </c>
      <c r="Q63" t="s">
        <v>753</v>
      </c>
    </row>
    <row r="64" spans="1:17" x14ac:dyDescent="0.3">
      <c r="A64" t="s">
        <v>256</v>
      </c>
      <c r="B64" t="s">
        <v>257</v>
      </c>
      <c r="C64" t="s">
        <v>258</v>
      </c>
      <c r="D64" t="s">
        <v>78</v>
      </c>
      <c r="E64" t="s">
        <v>60</v>
      </c>
      <c r="F64" s="8">
        <v>32</v>
      </c>
      <c r="G64" t="s">
        <v>259</v>
      </c>
      <c r="H64" s="7">
        <v>267</v>
      </c>
      <c r="I64">
        <v>40</v>
      </c>
      <c r="J64">
        <v>233</v>
      </c>
      <c r="K64" s="1">
        <v>46254</v>
      </c>
      <c r="L64">
        <v>176</v>
      </c>
      <c r="M64" t="s">
        <v>38</v>
      </c>
      <c r="N64" t="s">
        <v>241</v>
      </c>
      <c r="O64">
        <v>3</v>
      </c>
      <c r="P64" s="2">
        <v>8544</v>
      </c>
      <c r="Q64" t="s">
        <v>69</v>
      </c>
    </row>
    <row r="65" spans="1:17" x14ac:dyDescent="0.3">
      <c r="A65" t="s">
        <v>139</v>
      </c>
      <c r="B65" t="s">
        <v>140</v>
      </c>
      <c r="C65" t="s">
        <v>141</v>
      </c>
      <c r="D65" t="s">
        <v>78</v>
      </c>
      <c r="E65" t="s">
        <v>21</v>
      </c>
      <c r="F65" s="8">
        <v>6</v>
      </c>
      <c r="G65" t="s">
        <v>260</v>
      </c>
      <c r="H65" s="7">
        <v>155</v>
      </c>
      <c r="I65">
        <v>38</v>
      </c>
      <c r="J65">
        <v>207</v>
      </c>
      <c r="K65" s="1">
        <v>45780</v>
      </c>
      <c r="L65">
        <v>-298</v>
      </c>
      <c r="M65" t="s">
        <v>80</v>
      </c>
      <c r="N65" t="s">
        <v>241</v>
      </c>
      <c r="O65">
        <v>3</v>
      </c>
      <c r="P65" s="2">
        <v>930</v>
      </c>
      <c r="Q65" t="s">
        <v>753</v>
      </c>
    </row>
    <row r="66" spans="1:17" x14ac:dyDescent="0.3">
      <c r="A66" t="s">
        <v>149</v>
      </c>
      <c r="B66" t="s">
        <v>150</v>
      </c>
      <c r="C66" t="s">
        <v>151</v>
      </c>
      <c r="D66" t="s">
        <v>152</v>
      </c>
      <c r="E66" t="s">
        <v>21</v>
      </c>
      <c r="F66" s="8">
        <v>11.5</v>
      </c>
      <c r="G66" t="s">
        <v>261</v>
      </c>
      <c r="H66" s="7">
        <v>367</v>
      </c>
      <c r="I66">
        <v>64</v>
      </c>
      <c r="J66">
        <v>296</v>
      </c>
      <c r="K66" s="1">
        <v>45699</v>
      </c>
      <c r="L66">
        <v>-379</v>
      </c>
      <c r="M66" t="s">
        <v>67</v>
      </c>
      <c r="N66" t="s">
        <v>241</v>
      </c>
      <c r="O66">
        <v>3</v>
      </c>
      <c r="P66" s="2">
        <v>4220.5</v>
      </c>
      <c r="Q66" t="s">
        <v>753</v>
      </c>
    </row>
    <row r="67" spans="1:17" x14ac:dyDescent="0.3">
      <c r="A67" t="s">
        <v>195</v>
      </c>
      <c r="B67" t="s">
        <v>196</v>
      </c>
      <c r="C67" t="s">
        <v>197</v>
      </c>
      <c r="D67" t="s">
        <v>59</v>
      </c>
      <c r="E67" t="s">
        <v>21</v>
      </c>
      <c r="F67" s="8">
        <v>3.5</v>
      </c>
      <c r="G67" t="s">
        <v>262</v>
      </c>
      <c r="H67" s="7">
        <v>457</v>
      </c>
      <c r="I67">
        <v>68</v>
      </c>
      <c r="J67">
        <v>154</v>
      </c>
      <c r="K67" s="1">
        <v>45078</v>
      </c>
      <c r="L67">
        <v>-1000</v>
      </c>
      <c r="M67" t="s">
        <v>80</v>
      </c>
      <c r="N67" t="s">
        <v>241</v>
      </c>
      <c r="O67">
        <v>3</v>
      </c>
      <c r="P67" s="2">
        <v>1599.5</v>
      </c>
      <c r="Q67" t="s">
        <v>753</v>
      </c>
    </row>
    <row r="68" spans="1:17" x14ac:dyDescent="0.3">
      <c r="A68" t="s">
        <v>33</v>
      </c>
      <c r="B68" t="s">
        <v>34</v>
      </c>
      <c r="C68" t="s">
        <v>35</v>
      </c>
      <c r="D68" t="s">
        <v>36</v>
      </c>
      <c r="E68" t="s">
        <v>21</v>
      </c>
      <c r="F68" s="8">
        <v>5.5</v>
      </c>
      <c r="G68" t="s">
        <v>263</v>
      </c>
      <c r="H68" s="7">
        <v>32</v>
      </c>
      <c r="I68">
        <v>46</v>
      </c>
      <c r="J68">
        <v>308</v>
      </c>
      <c r="K68" s="1">
        <v>45833</v>
      </c>
      <c r="L68">
        <v>-245</v>
      </c>
      <c r="M68" t="s">
        <v>23</v>
      </c>
      <c r="N68" t="s">
        <v>241</v>
      </c>
      <c r="O68">
        <v>3</v>
      </c>
      <c r="P68" s="2">
        <v>176</v>
      </c>
      <c r="Q68" t="s">
        <v>50</v>
      </c>
    </row>
    <row r="69" spans="1:17" x14ac:dyDescent="0.3">
      <c r="A69" t="s">
        <v>247</v>
      </c>
      <c r="B69" t="s">
        <v>248</v>
      </c>
      <c r="C69" t="s">
        <v>249</v>
      </c>
      <c r="D69" t="s">
        <v>78</v>
      </c>
      <c r="E69" t="s">
        <v>21</v>
      </c>
      <c r="F69" s="8">
        <v>11</v>
      </c>
      <c r="G69" t="s">
        <v>264</v>
      </c>
      <c r="H69" s="7">
        <v>470</v>
      </c>
      <c r="I69">
        <v>28</v>
      </c>
      <c r="J69">
        <v>373</v>
      </c>
      <c r="K69" s="1">
        <v>46334</v>
      </c>
      <c r="L69">
        <v>256</v>
      </c>
      <c r="M69" t="s">
        <v>49</v>
      </c>
      <c r="N69" t="s">
        <v>241</v>
      </c>
      <c r="O69">
        <v>3</v>
      </c>
      <c r="P69" s="2">
        <v>5170</v>
      </c>
      <c r="Q69" t="s">
        <v>69</v>
      </c>
    </row>
    <row r="70" spans="1:17" x14ac:dyDescent="0.3">
      <c r="A70" t="s">
        <v>251</v>
      </c>
      <c r="B70" t="s">
        <v>252</v>
      </c>
      <c r="C70" t="s">
        <v>253</v>
      </c>
      <c r="D70" t="s">
        <v>174</v>
      </c>
      <c r="E70" t="s">
        <v>21</v>
      </c>
      <c r="F70" s="8">
        <v>22</v>
      </c>
      <c r="G70" t="s">
        <v>265</v>
      </c>
      <c r="H70" s="7">
        <v>42</v>
      </c>
      <c r="I70">
        <v>61</v>
      </c>
      <c r="J70">
        <v>319</v>
      </c>
      <c r="K70" s="1">
        <v>45504</v>
      </c>
      <c r="L70">
        <v>-574</v>
      </c>
      <c r="M70" t="s">
        <v>44</v>
      </c>
      <c r="N70" t="s">
        <v>241</v>
      </c>
      <c r="O70">
        <v>3</v>
      </c>
      <c r="P70" s="2">
        <v>924</v>
      </c>
      <c r="Q70" t="s">
        <v>50</v>
      </c>
    </row>
    <row r="71" spans="1:17" x14ac:dyDescent="0.3">
      <c r="A71" t="s">
        <v>266</v>
      </c>
      <c r="B71" t="s">
        <v>267</v>
      </c>
      <c r="C71" t="s">
        <v>268</v>
      </c>
      <c r="D71" t="s">
        <v>112</v>
      </c>
      <c r="E71" t="s">
        <v>157</v>
      </c>
      <c r="F71" s="8">
        <v>95</v>
      </c>
      <c r="G71" t="s">
        <v>269</v>
      </c>
      <c r="H71" s="7">
        <v>353</v>
      </c>
      <c r="I71">
        <v>73</v>
      </c>
      <c r="J71">
        <v>224</v>
      </c>
      <c r="K71" s="1">
        <v>45734</v>
      </c>
      <c r="L71">
        <v>-344</v>
      </c>
      <c r="M71" t="s">
        <v>31</v>
      </c>
      <c r="N71" t="s">
        <v>241</v>
      </c>
      <c r="O71">
        <v>3</v>
      </c>
      <c r="P71" s="2">
        <v>33535</v>
      </c>
      <c r="Q71" t="s">
        <v>753</v>
      </c>
    </row>
    <row r="72" spans="1:17" x14ac:dyDescent="0.3">
      <c r="A72" t="s">
        <v>120</v>
      </c>
      <c r="B72" t="s">
        <v>121</v>
      </c>
      <c r="C72" t="s">
        <v>28</v>
      </c>
      <c r="D72" t="s">
        <v>29</v>
      </c>
      <c r="E72" t="s">
        <v>122</v>
      </c>
      <c r="F72" s="8">
        <v>35</v>
      </c>
      <c r="G72" t="s">
        <v>270</v>
      </c>
      <c r="H72" s="7">
        <v>491</v>
      </c>
      <c r="I72">
        <v>43</v>
      </c>
      <c r="J72">
        <v>335</v>
      </c>
      <c r="K72" s="1">
        <v>45582</v>
      </c>
      <c r="L72">
        <v>-496</v>
      </c>
      <c r="M72" t="s">
        <v>44</v>
      </c>
      <c r="N72" t="s">
        <v>241</v>
      </c>
      <c r="O72">
        <v>3</v>
      </c>
      <c r="P72" s="2">
        <v>17185</v>
      </c>
      <c r="Q72" t="s">
        <v>753</v>
      </c>
    </row>
    <row r="73" spans="1:17" x14ac:dyDescent="0.3">
      <c r="A73" t="s">
        <v>199</v>
      </c>
      <c r="B73" t="s">
        <v>200</v>
      </c>
      <c r="C73" t="s">
        <v>201</v>
      </c>
      <c r="D73" t="s">
        <v>202</v>
      </c>
      <c r="E73" t="s">
        <v>203</v>
      </c>
      <c r="F73" s="8">
        <v>3.5</v>
      </c>
      <c r="G73" t="s">
        <v>271</v>
      </c>
      <c r="H73" s="7">
        <v>494</v>
      </c>
      <c r="I73">
        <v>61</v>
      </c>
      <c r="J73">
        <v>238</v>
      </c>
      <c r="K73" s="1">
        <v>46408</v>
      </c>
      <c r="L73">
        <v>330</v>
      </c>
      <c r="M73" t="s">
        <v>87</v>
      </c>
      <c r="N73" t="s">
        <v>241</v>
      </c>
      <c r="O73">
        <v>3</v>
      </c>
      <c r="P73" s="2">
        <v>1729</v>
      </c>
      <c r="Q73" t="s">
        <v>69</v>
      </c>
    </row>
    <row r="74" spans="1:17" x14ac:dyDescent="0.3">
      <c r="A74" t="s">
        <v>124</v>
      </c>
      <c r="B74" t="s">
        <v>125</v>
      </c>
      <c r="C74" t="s">
        <v>126</v>
      </c>
      <c r="D74" t="s">
        <v>29</v>
      </c>
      <c r="E74" t="s">
        <v>21</v>
      </c>
      <c r="F74" s="8">
        <v>22</v>
      </c>
      <c r="G74" t="s">
        <v>272</v>
      </c>
      <c r="H74" s="7">
        <v>282</v>
      </c>
      <c r="I74">
        <v>38</v>
      </c>
      <c r="J74">
        <v>285</v>
      </c>
      <c r="K74" s="1">
        <v>46097</v>
      </c>
      <c r="L74">
        <v>19</v>
      </c>
      <c r="M74" t="s">
        <v>38</v>
      </c>
      <c r="N74" t="s">
        <v>273</v>
      </c>
      <c r="O74">
        <v>6</v>
      </c>
      <c r="P74" s="2">
        <v>6204</v>
      </c>
      <c r="Q74" t="s">
        <v>32</v>
      </c>
    </row>
    <row r="75" spans="1:17" x14ac:dyDescent="0.3">
      <c r="A75" t="s">
        <v>206</v>
      </c>
      <c r="B75" t="s">
        <v>207</v>
      </c>
      <c r="C75" t="s">
        <v>208</v>
      </c>
      <c r="D75" t="s">
        <v>117</v>
      </c>
      <c r="E75" t="s">
        <v>157</v>
      </c>
      <c r="F75" s="8">
        <v>280</v>
      </c>
      <c r="G75" t="s">
        <v>274</v>
      </c>
      <c r="H75" s="7">
        <v>112</v>
      </c>
      <c r="I75">
        <v>63</v>
      </c>
      <c r="J75">
        <v>266</v>
      </c>
      <c r="K75" s="1">
        <v>45933</v>
      </c>
      <c r="L75">
        <v>-145</v>
      </c>
      <c r="M75" t="s">
        <v>87</v>
      </c>
      <c r="N75" t="s">
        <v>273</v>
      </c>
      <c r="O75">
        <v>6</v>
      </c>
      <c r="P75" s="2">
        <v>31360</v>
      </c>
      <c r="Q75" t="s">
        <v>753</v>
      </c>
    </row>
    <row r="76" spans="1:17" x14ac:dyDescent="0.3">
      <c r="A76" t="s">
        <v>160</v>
      </c>
      <c r="B76" t="s">
        <v>161</v>
      </c>
      <c r="C76" t="s">
        <v>162</v>
      </c>
      <c r="D76" t="s">
        <v>29</v>
      </c>
      <c r="E76" t="s">
        <v>157</v>
      </c>
      <c r="F76" s="8">
        <v>85</v>
      </c>
      <c r="G76" t="s">
        <v>275</v>
      </c>
      <c r="H76" s="7">
        <v>370</v>
      </c>
      <c r="I76">
        <v>79</v>
      </c>
      <c r="J76">
        <v>392</v>
      </c>
      <c r="K76" s="1">
        <v>45662</v>
      </c>
      <c r="L76">
        <v>-416</v>
      </c>
      <c r="M76" t="s">
        <v>67</v>
      </c>
      <c r="N76" t="s">
        <v>273</v>
      </c>
      <c r="O76">
        <v>6</v>
      </c>
      <c r="P76" s="2">
        <v>31450</v>
      </c>
      <c r="Q76" t="s">
        <v>753</v>
      </c>
    </row>
    <row r="77" spans="1:17" x14ac:dyDescent="0.3">
      <c r="A77" t="s">
        <v>276</v>
      </c>
      <c r="B77" t="s">
        <v>277</v>
      </c>
      <c r="C77" t="s">
        <v>278</v>
      </c>
      <c r="D77" t="s">
        <v>97</v>
      </c>
      <c r="E77" t="s">
        <v>21</v>
      </c>
      <c r="F77" s="8">
        <v>8.5</v>
      </c>
      <c r="G77" t="s">
        <v>279</v>
      </c>
      <c r="H77" s="7">
        <v>413</v>
      </c>
      <c r="I77">
        <v>75</v>
      </c>
      <c r="J77">
        <v>381</v>
      </c>
      <c r="K77" s="1">
        <v>45551</v>
      </c>
      <c r="L77">
        <v>-527</v>
      </c>
      <c r="M77" t="s">
        <v>31</v>
      </c>
      <c r="N77" t="s">
        <v>273</v>
      </c>
      <c r="O77">
        <v>6</v>
      </c>
      <c r="P77" s="2">
        <v>3510.5</v>
      </c>
      <c r="Q77" t="s">
        <v>753</v>
      </c>
    </row>
    <row r="78" spans="1:17" x14ac:dyDescent="0.3">
      <c r="A78" t="s">
        <v>114</v>
      </c>
      <c r="B78" t="s">
        <v>115</v>
      </c>
      <c r="C78" t="s">
        <v>116</v>
      </c>
      <c r="D78" t="s">
        <v>117</v>
      </c>
      <c r="E78" t="s">
        <v>21</v>
      </c>
      <c r="F78" s="8">
        <v>7</v>
      </c>
      <c r="G78" t="s">
        <v>280</v>
      </c>
      <c r="H78" s="7">
        <v>218</v>
      </c>
      <c r="I78">
        <v>73</v>
      </c>
      <c r="J78">
        <v>380</v>
      </c>
      <c r="K78" s="1">
        <v>46491</v>
      </c>
      <c r="L78">
        <v>413</v>
      </c>
      <c r="M78" t="s">
        <v>67</v>
      </c>
      <c r="N78" t="s">
        <v>273</v>
      </c>
      <c r="O78">
        <v>6</v>
      </c>
      <c r="P78" s="2">
        <v>1526</v>
      </c>
      <c r="Q78" t="s">
        <v>69</v>
      </c>
    </row>
    <row r="79" spans="1:17" x14ac:dyDescent="0.3">
      <c r="A79" t="s">
        <v>176</v>
      </c>
      <c r="B79" t="s">
        <v>177</v>
      </c>
      <c r="C79" t="s">
        <v>178</v>
      </c>
      <c r="D79" t="s">
        <v>147</v>
      </c>
      <c r="E79" t="s">
        <v>21</v>
      </c>
      <c r="F79" s="8">
        <v>4</v>
      </c>
      <c r="G79" t="s">
        <v>281</v>
      </c>
      <c r="H79" s="7">
        <v>225</v>
      </c>
      <c r="I79">
        <v>24</v>
      </c>
      <c r="J79">
        <v>246</v>
      </c>
      <c r="K79" s="1">
        <v>45536</v>
      </c>
      <c r="L79">
        <v>-542</v>
      </c>
      <c r="M79" t="s">
        <v>38</v>
      </c>
      <c r="N79" t="s">
        <v>273</v>
      </c>
      <c r="O79">
        <v>6</v>
      </c>
      <c r="P79" s="2">
        <v>900</v>
      </c>
      <c r="Q79" t="s">
        <v>753</v>
      </c>
    </row>
    <row r="80" spans="1:17" x14ac:dyDescent="0.3">
      <c r="A80" t="s">
        <v>243</v>
      </c>
      <c r="B80" t="s">
        <v>244</v>
      </c>
      <c r="C80" t="s">
        <v>245</v>
      </c>
      <c r="D80" t="s">
        <v>42</v>
      </c>
      <c r="E80" t="s">
        <v>21</v>
      </c>
      <c r="F80" s="8">
        <v>6.5</v>
      </c>
      <c r="G80" t="s">
        <v>282</v>
      </c>
      <c r="H80" s="7">
        <v>248</v>
      </c>
      <c r="I80">
        <v>21</v>
      </c>
      <c r="J80">
        <v>299</v>
      </c>
      <c r="K80" s="1">
        <v>45753</v>
      </c>
      <c r="L80">
        <v>-325</v>
      </c>
      <c r="M80" t="s">
        <v>23</v>
      </c>
      <c r="N80" t="s">
        <v>273</v>
      </c>
      <c r="O80">
        <v>6</v>
      </c>
      <c r="P80" s="2">
        <v>1612</v>
      </c>
      <c r="Q80" t="s">
        <v>753</v>
      </c>
    </row>
    <row r="81" spans="1:17" x14ac:dyDescent="0.3">
      <c r="A81" t="s">
        <v>45</v>
      </c>
      <c r="B81" t="s">
        <v>46</v>
      </c>
      <c r="C81" t="s">
        <v>47</v>
      </c>
      <c r="D81" t="s">
        <v>29</v>
      </c>
      <c r="E81" t="s">
        <v>21</v>
      </c>
      <c r="F81" s="8">
        <v>28</v>
      </c>
      <c r="G81" t="s">
        <v>283</v>
      </c>
      <c r="H81" s="7">
        <v>194</v>
      </c>
      <c r="I81">
        <v>40</v>
      </c>
      <c r="J81">
        <v>208</v>
      </c>
      <c r="K81" s="1">
        <v>45343</v>
      </c>
      <c r="L81">
        <v>-735</v>
      </c>
      <c r="M81" t="s">
        <v>67</v>
      </c>
      <c r="N81" t="s">
        <v>273</v>
      </c>
      <c r="O81">
        <v>6</v>
      </c>
      <c r="P81" s="2">
        <v>5432</v>
      </c>
      <c r="Q81" t="s">
        <v>753</v>
      </c>
    </row>
    <row r="82" spans="1:17" x14ac:dyDescent="0.3">
      <c r="A82" t="s">
        <v>224</v>
      </c>
      <c r="B82" t="s">
        <v>225</v>
      </c>
      <c r="C82" t="s">
        <v>226</v>
      </c>
      <c r="D82" t="s">
        <v>227</v>
      </c>
      <c r="E82" t="s">
        <v>21</v>
      </c>
      <c r="F82" s="8">
        <v>9</v>
      </c>
      <c r="G82" t="s">
        <v>284</v>
      </c>
      <c r="H82" s="7">
        <v>85</v>
      </c>
      <c r="I82">
        <v>58</v>
      </c>
      <c r="J82">
        <v>158</v>
      </c>
      <c r="K82" s="1">
        <v>46077</v>
      </c>
      <c r="L82">
        <v>-1</v>
      </c>
      <c r="M82" t="s">
        <v>44</v>
      </c>
      <c r="N82" t="s">
        <v>273</v>
      </c>
      <c r="O82">
        <v>6</v>
      </c>
      <c r="P82" s="2">
        <v>765</v>
      </c>
      <c r="Q82" t="s">
        <v>753</v>
      </c>
    </row>
    <row r="83" spans="1:17" x14ac:dyDescent="0.3">
      <c r="A83" t="s">
        <v>266</v>
      </c>
      <c r="B83" t="s">
        <v>267</v>
      </c>
      <c r="C83" t="s">
        <v>268</v>
      </c>
      <c r="D83" t="s">
        <v>112</v>
      </c>
      <c r="E83" t="s">
        <v>157</v>
      </c>
      <c r="F83" s="8">
        <v>95</v>
      </c>
      <c r="G83" t="s">
        <v>285</v>
      </c>
      <c r="H83" s="7">
        <v>67</v>
      </c>
      <c r="I83">
        <v>79</v>
      </c>
      <c r="J83">
        <v>278</v>
      </c>
      <c r="K83" s="1">
        <v>45810</v>
      </c>
      <c r="L83">
        <v>-268</v>
      </c>
      <c r="M83" t="s">
        <v>31</v>
      </c>
      <c r="N83" t="s">
        <v>286</v>
      </c>
      <c r="O83">
        <v>4</v>
      </c>
      <c r="P83" s="2">
        <v>6365</v>
      </c>
      <c r="Q83" t="s">
        <v>50</v>
      </c>
    </row>
    <row r="84" spans="1:17" x14ac:dyDescent="0.3">
      <c r="A84" t="s">
        <v>82</v>
      </c>
      <c r="B84" t="s">
        <v>83</v>
      </c>
      <c r="C84" t="s">
        <v>84</v>
      </c>
      <c r="D84" t="s">
        <v>29</v>
      </c>
      <c r="E84" t="s">
        <v>85</v>
      </c>
      <c r="F84" s="8">
        <v>12.5</v>
      </c>
      <c r="G84" t="s">
        <v>287</v>
      </c>
      <c r="H84" s="7">
        <v>47</v>
      </c>
      <c r="I84">
        <v>60</v>
      </c>
      <c r="J84">
        <v>316</v>
      </c>
      <c r="K84" s="1">
        <v>45184</v>
      </c>
      <c r="L84">
        <v>-894</v>
      </c>
      <c r="M84" t="s">
        <v>119</v>
      </c>
      <c r="N84" t="s">
        <v>286</v>
      </c>
      <c r="O84">
        <v>4</v>
      </c>
      <c r="P84" s="2">
        <v>587.5</v>
      </c>
      <c r="Q84" t="s">
        <v>50</v>
      </c>
    </row>
    <row r="85" spans="1:17" x14ac:dyDescent="0.3">
      <c r="A85" t="s">
        <v>288</v>
      </c>
      <c r="B85" t="s">
        <v>289</v>
      </c>
      <c r="C85" t="s">
        <v>290</v>
      </c>
      <c r="D85" t="s">
        <v>117</v>
      </c>
      <c r="E85" t="s">
        <v>21</v>
      </c>
      <c r="F85" s="8">
        <v>8.75</v>
      </c>
      <c r="G85" t="s">
        <v>291</v>
      </c>
      <c r="H85" s="7">
        <v>57</v>
      </c>
      <c r="I85">
        <v>24</v>
      </c>
      <c r="J85">
        <v>176</v>
      </c>
      <c r="K85" s="1">
        <v>45501</v>
      </c>
      <c r="L85">
        <v>-577</v>
      </c>
      <c r="M85" t="s">
        <v>87</v>
      </c>
      <c r="N85" t="s">
        <v>286</v>
      </c>
      <c r="O85">
        <v>4</v>
      </c>
      <c r="P85" s="2">
        <v>498.75</v>
      </c>
      <c r="Q85" t="s">
        <v>753</v>
      </c>
    </row>
    <row r="86" spans="1:17" x14ac:dyDescent="0.3">
      <c r="A86" t="s">
        <v>292</v>
      </c>
      <c r="B86" t="s">
        <v>293</v>
      </c>
      <c r="C86" t="s">
        <v>294</v>
      </c>
      <c r="D86" t="s">
        <v>73</v>
      </c>
      <c r="E86" t="s">
        <v>21</v>
      </c>
      <c r="F86" s="8">
        <v>13</v>
      </c>
      <c r="G86" t="s">
        <v>295</v>
      </c>
      <c r="H86" s="7">
        <v>449</v>
      </c>
      <c r="I86">
        <v>36</v>
      </c>
      <c r="J86">
        <v>191</v>
      </c>
      <c r="K86" s="1">
        <v>44955</v>
      </c>
      <c r="L86">
        <v>-1123</v>
      </c>
      <c r="M86" t="s">
        <v>119</v>
      </c>
      <c r="N86" t="s">
        <v>286</v>
      </c>
      <c r="O86">
        <v>4</v>
      </c>
      <c r="P86" s="2">
        <v>5837</v>
      </c>
      <c r="Q86" t="s">
        <v>753</v>
      </c>
    </row>
    <row r="87" spans="1:17" x14ac:dyDescent="0.3">
      <c r="A87" t="s">
        <v>100</v>
      </c>
      <c r="B87" t="s">
        <v>101</v>
      </c>
      <c r="C87" t="s">
        <v>102</v>
      </c>
      <c r="D87" t="s">
        <v>103</v>
      </c>
      <c r="E87" t="s">
        <v>85</v>
      </c>
      <c r="F87" s="8">
        <v>25</v>
      </c>
      <c r="G87" t="s">
        <v>296</v>
      </c>
      <c r="H87" s="7">
        <v>167</v>
      </c>
      <c r="I87">
        <v>45</v>
      </c>
      <c r="J87">
        <v>251</v>
      </c>
      <c r="K87" s="1">
        <v>46156</v>
      </c>
      <c r="L87">
        <v>78</v>
      </c>
      <c r="M87" t="s">
        <v>87</v>
      </c>
      <c r="N87" t="s">
        <v>286</v>
      </c>
      <c r="O87">
        <v>4</v>
      </c>
      <c r="P87" s="2">
        <v>4175</v>
      </c>
      <c r="Q87" t="s">
        <v>32</v>
      </c>
    </row>
    <row r="88" spans="1:17" x14ac:dyDescent="0.3">
      <c r="A88" t="s">
        <v>297</v>
      </c>
      <c r="B88" t="s">
        <v>298</v>
      </c>
      <c r="C88" t="s">
        <v>299</v>
      </c>
      <c r="D88" t="s">
        <v>59</v>
      </c>
      <c r="E88" t="s">
        <v>21</v>
      </c>
      <c r="F88" s="8">
        <v>8</v>
      </c>
      <c r="G88" t="s">
        <v>300</v>
      </c>
      <c r="H88" s="7">
        <v>337</v>
      </c>
      <c r="I88">
        <v>25</v>
      </c>
      <c r="J88">
        <v>245</v>
      </c>
      <c r="K88" s="1">
        <v>45922</v>
      </c>
      <c r="L88">
        <v>-156</v>
      </c>
      <c r="M88" t="s">
        <v>87</v>
      </c>
      <c r="N88" t="s">
        <v>286</v>
      </c>
      <c r="O88">
        <v>4</v>
      </c>
      <c r="P88" s="2">
        <v>2696</v>
      </c>
      <c r="Q88" t="s">
        <v>753</v>
      </c>
    </row>
    <row r="89" spans="1:17" x14ac:dyDescent="0.3">
      <c r="A89" t="s">
        <v>180</v>
      </c>
      <c r="B89" t="s">
        <v>181</v>
      </c>
      <c r="C89" t="s">
        <v>182</v>
      </c>
      <c r="D89" t="s">
        <v>183</v>
      </c>
      <c r="E89" t="s">
        <v>21</v>
      </c>
      <c r="F89" s="8">
        <v>12</v>
      </c>
      <c r="G89" t="s">
        <v>301</v>
      </c>
      <c r="H89" s="7">
        <v>105</v>
      </c>
      <c r="I89">
        <v>73</v>
      </c>
      <c r="J89">
        <v>315</v>
      </c>
      <c r="K89" s="1">
        <v>45352</v>
      </c>
      <c r="L89">
        <v>-726</v>
      </c>
      <c r="M89" t="s">
        <v>80</v>
      </c>
      <c r="N89" t="s">
        <v>286</v>
      </c>
      <c r="O89">
        <v>4</v>
      </c>
      <c r="P89" s="2">
        <v>1260</v>
      </c>
      <c r="Q89" t="s">
        <v>753</v>
      </c>
    </row>
    <row r="90" spans="1:17" x14ac:dyDescent="0.3">
      <c r="A90" t="s">
        <v>302</v>
      </c>
      <c r="B90" t="s">
        <v>303</v>
      </c>
      <c r="C90" t="s">
        <v>304</v>
      </c>
      <c r="D90" t="s">
        <v>103</v>
      </c>
      <c r="E90" t="s">
        <v>188</v>
      </c>
      <c r="F90" s="8">
        <v>22</v>
      </c>
      <c r="G90" t="s">
        <v>305</v>
      </c>
      <c r="H90" s="7">
        <v>35</v>
      </c>
      <c r="I90">
        <v>52</v>
      </c>
      <c r="J90">
        <v>274</v>
      </c>
      <c r="K90" s="1">
        <v>45969</v>
      </c>
      <c r="L90">
        <v>-109</v>
      </c>
      <c r="M90" t="s">
        <v>49</v>
      </c>
      <c r="N90" t="s">
        <v>286</v>
      </c>
      <c r="O90">
        <v>4</v>
      </c>
      <c r="P90" s="2">
        <v>770</v>
      </c>
      <c r="Q90" t="s">
        <v>50</v>
      </c>
    </row>
    <row r="91" spans="1:17" x14ac:dyDescent="0.3">
      <c r="A91" t="s">
        <v>288</v>
      </c>
      <c r="B91" t="s">
        <v>289</v>
      </c>
      <c r="C91" t="s">
        <v>290</v>
      </c>
      <c r="D91" t="s">
        <v>117</v>
      </c>
      <c r="E91" t="s">
        <v>21</v>
      </c>
      <c r="F91" s="8">
        <v>8.75</v>
      </c>
      <c r="G91" t="s">
        <v>306</v>
      </c>
      <c r="H91" s="7">
        <v>0</v>
      </c>
      <c r="I91">
        <v>34</v>
      </c>
      <c r="J91">
        <v>329</v>
      </c>
      <c r="K91" s="1">
        <v>46156</v>
      </c>
      <c r="L91">
        <v>78</v>
      </c>
      <c r="M91" t="s">
        <v>119</v>
      </c>
      <c r="N91" t="s">
        <v>307</v>
      </c>
      <c r="O91">
        <v>10</v>
      </c>
      <c r="P91" s="2">
        <v>0</v>
      </c>
      <c r="Q91" t="s">
        <v>25</v>
      </c>
    </row>
    <row r="92" spans="1:17" x14ac:dyDescent="0.3">
      <c r="A92" t="s">
        <v>292</v>
      </c>
      <c r="B92" t="s">
        <v>293</v>
      </c>
      <c r="C92" t="s">
        <v>294</v>
      </c>
      <c r="D92" t="s">
        <v>73</v>
      </c>
      <c r="E92" t="s">
        <v>21</v>
      </c>
      <c r="F92" s="8">
        <v>13</v>
      </c>
      <c r="G92" t="s">
        <v>308</v>
      </c>
      <c r="H92" s="7">
        <v>202</v>
      </c>
      <c r="I92">
        <v>76</v>
      </c>
      <c r="J92">
        <v>334</v>
      </c>
      <c r="K92" s="1">
        <v>45691</v>
      </c>
      <c r="L92">
        <v>-387</v>
      </c>
      <c r="M92" t="s">
        <v>44</v>
      </c>
      <c r="N92" t="s">
        <v>307</v>
      </c>
      <c r="O92">
        <v>10</v>
      </c>
      <c r="P92" s="2">
        <v>2626</v>
      </c>
      <c r="Q92" t="s">
        <v>753</v>
      </c>
    </row>
    <row r="93" spans="1:17" x14ac:dyDescent="0.3">
      <c r="A93" t="s">
        <v>309</v>
      </c>
      <c r="B93" t="s">
        <v>310</v>
      </c>
      <c r="C93" t="s">
        <v>311</v>
      </c>
      <c r="D93" t="s">
        <v>59</v>
      </c>
      <c r="E93" t="s">
        <v>21</v>
      </c>
      <c r="F93" s="8">
        <v>7</v>
      </c>
      <c r="G93" t="s">
        <v>312</v>
      </c>
      <c r="H93" s="7">
        <v>70</v>
      </c>
      <c r="I93">
        <v>52</v>
      </c>
      <c r="J93">
        <v>352</v>
      </c>
      <c r="K93" s="1">
        <v>45480</v>
      </c>
      <c r="L93">
        <v>-598</v>
      </c>
      <c r="M93" t="s">
        <v>31</v>
      </c>
      <c r="N93" t="s">
        <v>307</v>
      </c>
      <c r="O93">
        <v>10</v>
      </c>
      <c r="P93" s="2">
        <v>490</v>
      </c>
      <c r="Q93" t="s">
        <v>753</v>
      </c>
    </row>
    <row r="94" spans="1:17" x14ac:dyDescent="0.3">
      <c r="A94" t="s">
        <v>297</v>
      </c>
      <c r="B94" t="s">
        <v>298</v>
      </c>
      <c r="C94" t="s">
        <v>299</v>
      </c>
      <c r="D94" t="s">
        <v>59</v>
      </c>
      <c r="E94" t="s">
        <v>21</v>
      </c>
      <c r="F94" s="8">
        <v>8</v>
      </c>
      <c r="G94" t="s">
        <v>313</v>
      </c>
      <c r="H94" s="7">
        <v>57</v>
      </c>
      <c r="I94">
        <v>79</v>
      </c>
      <c r="J94">
        <v>285</v>
      </c>
      <c r="K94" s="1">
        <v>45427</v>
      </c>
      <c r="L94">
        <v>-651</v>
      </c>
      <c r="M94" t="s">
        <v>119</v>
      </c>
      <c r="N94" t="s">
        <v>307</v>
      </c>
      <c r="O94">
        <v>10</v>
      </c>
      <c r="P94" s="2">
        <v>456</v>
      </c>
      <c r="Q94" t="s">
        <v>50</v>
      </c>
    </row>
    <row r="95" spans="1:17" x14ac:dyDescent="0.3">
      <c r="A95" t="s">
        <v>128</v>
      </c>
      <c r="B95" t="s">
        <v>129</v>
      </c>
      <c r="C95" t="s">
        <v>130</v>
      </c>
      <c r="D95" t="s">
        <v>131</v>
      </c>
      <c r="E95" t="s">
        <v>21</v>
      </c>
      <c r="F95" s="8">
        <v>16</v>
      </c>
      <c r="G95" t="s">
        <v>314</v>
      </c>
      <c r="H95" s="7">
        <v>362</v>
      </c>
      <c r="I95">
        <v>60</v>
      </c>
      <c r="J95">
        <v>130</v>
      </c>
      <c r="K95" s="1">
        <v>44934</v>
      </c>
      <c r="L95">
        <v>-1144</v>
      </c>
      <c r="M95" t="s">
        <v>38</v>
      </c>
      <c r="N95" t="s">
        <v>307</v>
      </c>
      <c r="O95">
        <v>10</v>
      </c>
      <c r="P95" s="2">
        <v>5792</v>
      </c>
      <c r="Q95" t="s">
        <v>753</v>
      </c>
    </row>
    <row r="96" spans="1:17" x14ac:dyDescent="0.3">
      <c r="A96" t="s">
        <v>302</v>
      </c>
      <c r="B96" t="s">
        <v>303</v>
      </c>
      <c r="C96" t="s">
        <v>304</v>
      </c>
      <c r="D96" t="s">
        <v>103</v>
      </c>
      <c r="E96" t="s">
        <v>188</v>
      </c>
      <c r="F96" s="8">
        <v>22</v>
      </c>
      <c r="G96" t="s">
        <v>315</v>
      </c>
      <c r="H96" s="7">
        <v>341</v>
      </c>
      <c r="I96">
        <v>72</v>
      </c>
      <c r="J96">
        <v>383</v>
      </c>
      <c r="K96" s="1">
        <v>45468</v>
      </c>
      <c r="L96">
        <v>-610</v>
      </c>
      <c r="M96" t="s">
        <v>119</v>
      </c>
      <c r="N96" t="s">
        <v>307</v>
      </c>
      <c r="O96">
        <v>10</v>
      </c>
      <c r="P96" s="2">
        <v>7502</v>
      </c>
      <c r="Q96" t="s">
        <v>753</v>
      </c>
    </row>
    <row r="97" spans="1:17" x14ac:dyDescent="0.3">
      <c r="A97" t="s">
        <v>309</v>
      </c>
      <c r="B97" t="s">
        <v>310</v>
      </c>
      <c r="C97" t="s">
        <v>311</v>
      </c>
      <c r="D97" t="s">
        <v>59</v>
      </c>
      <c r="E97" t="s">
        <v>21</v>
      </c>
      <c r="F97" s="8">
        <v>7</v>
      </c>
      <c r="G97" t="s">
        <v>316</v>
      </c>
      <c r="H97" s="7">
        <v>460</v>
      </c>
      <c r="I97">
        <v>56</v>
      </c>
      <c r="J97">
        <v>197</v>
      </c>
      <c r="K97" s="1">
        <v>45592</v>
      </c>
      <c r="L97">
        <v>-486</v>
      </c>
      <c r="M97" t="s">
        <v>119</v>
      </c>
      <c r="N97" t="s">
        <v>307</v>
      </c>
      <c r="O97">
        <v>10</v>
      </c>
      <c r="P97" s="2">
        <v>3220</v>
      </c>
      <c r="Q97" t="s">
        <v>753</v>
      </c>
    </row>
    <row r="98" spans="1:17" x14ac:dyDescent="0.3">
      <c r="A98" t="s">
        <v>144</v>
      </c>
      <c r="B98" t="s">
        <v>145</v>
      </c>
      <c r="C98" t="s">
        <v>146</v>
      </c>
      <c r="D98" t="s">
        <v>147</v>
      </c>
      <c r="E98" t="s">
        <v>21</v>
      </c>
      <c r="F98" s="8">
        <v>20</v>
      </c>
      <c r="G98" t="s">
        <v>317</v>
      </c>
      <c r="H98" s="7">
        <v>238</v>
      </c>
      <c r="I98">
        <v>48</v>
      </c>
      <c r="J98">
        <v>326</v>
      </c>
      <c r="K98" s="1">
        <v>45962</v>
      </c>
      <c r="L98">
        <v>-116</v>
      </c>
      <c r="M98" t="s">
        <v>38</v>
      </c>
      <c r="N98" t="s">
        <v>307</v>
      </c>
      <c r="O98">
        <v>10</v>
      </c>
      <c r="P98" s="2">
        <v>4760</v>
      </c>
      <c r="Q98" t="s">
        <v>753</v>
      </c>
    </row>
    <row r="99" spans="1:17" x14ac:dyDescent="0.3">
      <c r="A99" t="s">
        <v>171</v>
      </c>
      <c r="B99" t="s">
        <v>172</v>
      </c>
      <c r="C99" t="s">
        <v>173</v>
      </c>
      <c r="D99" t="s">
        <v>174</v>
      </c>
      <c r="E99" t="s">
        <v>21</v>
      </c>
      <c r="F99" s="8">
        <v>9.5</v>
      </c>
      <c r="G99" t="s">
        <v>318</v>
      </c>
      <c r="H99" s="7">
        <v>344</v>
      </c>
      <c r="I99">
        <v>39</v>
      </c>
      <c r="J99">
        <v>215</v>
      </c>
      <c r="K99" s="1">
        <v>45205</v>
      </c>
      <c r="L99">
        <v>-873</v>
      </c>
      <c r="M99" t="s">
        <v>38</v>
      </c>
      <c r="N99" t="s">
        <v>307</v>
      </c>
      <c r="O99">
        <v>10</v>
      </c>
      <c r="P99" s="2">
        <v>3268</v>
      </c>
      <c r="Q99" t="s">
        <v>753</v>
      </c>
    </row>
    <row r="100" spans="1:17" x14ac:dyDescent="0.3">
      <c r="A100" t="s">
        <v>276</v>
      </c>
      <c r="B100" t="s">
        <v>277</v>
      </c>
      <c r="C100" t="s">
        <v>278</v>
      </c>
      <c r="D100" t="s">
        <v>97</v>
      </c>
      <c r="E100" t="s">
        <v>21</v>
      </c>
      <c r="F100" s="8">
        <v>8.5</v>
      </c>
      <c r="G100" t="s">
        <v>319</v>
      </c>
      <c r="H100" s="7">
        <v>194</v>
      </c>
      <c r="I100">
        <v>50</v>
      </c>
      <c r="J100">
        <v>103</v>
      </c>
      <c r="K100" s="1">
        <v>46534</v>
      </c>
      <c r="L100">
        <v>456</v>
      </c>
      <c r="M100" t="s">
        <v>23</v>
      </c>
      <c r="N100" t="s">
        <v>307</v>
      </c>
      <c r="O100">
        <v>10</v>
      </c>
      <c r="P100" s="2">
        <v>1649</v>
      </c>
      <c r="Q100" t="s">
        <v>69</v>
      </c>
    </row>
    <row r="101" spans="1:17" x14ac:dyDescent="0.3">
      <c r="A101" t="s">
        <v>256</v>
      </c>
      <c r="B101" t="s">
        <v>257</v>
      </c>
      <c r="C101" t="s">
        <v>258</v>
      </c>
      <c r="D101" t="s">
        <v>78</v>
      </c>
      <c r="E101" t="s">
        <v>60</v>
      </c>
      <c r="F101" s="8">
        <v>32</v>
      </c>
      <c r="G101" t="s">
        <v>320</v>
      </c>
      <c r="H101" s="7">
        <v>242</v>
      </c>
      <c r="I101">
        <v>62</v>
      </c>
      <c r="J101">
        <v>158</v>
      </c>
      <c r="K101" s="1">
        <v>45354</v>
      </c>
      <c r="L101">
        <v>-724</v>
      </c>
      <c r="M101" t="s">
        <v>38</v>
      </c>
      <c r="N101" t="s">
        <v>307</v>
      </c>
      <c r="O101">
        <v>10</v>
      </c>
      <c r="P101" s="2">
        <v>7744</v>
      </c>
      <c r="Q101" t="s">
        <v>753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1466-8408-45CC-ABB5-81BA7AFB0A78}">
  <dimension ref="A1:I503"/>
  <sheetViews>
    <sheetView showGridLines="0" workbookViewId="0">
      <selection activeCell="D509" sqref="D509"/>
    </sheetView>
  </sheetViews>
  <sheetFormatPr defaultRowHeight="14.4" x14ac:dyDescent="0.3"/>
  <cols>
    <col min="1" max="1" width="9" bestFit="1" customWidth="1"/>
    <col min="2" max="2" width="13.44140625" bestFit="1" customWidth="1"/>
    <col min="3" max="3" width="11.21875" bestFit="1" customWidth="1"/>
    <col min="4" max="4" width="14.77734375" bestFit="1" customWidth="1"/>
    <col min="5" max="5" width="11.6640625" bestFit="1" customWidth="1"/>
    <col min="6" max="6" width="14.77734375" bestFit="1" customWidth="1"/>
    <col min="7" max="7" width="14" bestFit="1" customWidth="1"/>
    <col min="8" max="8" width="16.5546875" bestFit="1" customWidth="1"/>
    <col min="9" max="9" width="15.109375" bestFit="1" customWidth="1"/>
  </cols>
  <sheetData>
    <row r="1" spans="1:9" ht="33.6" x14ac:dyDescent="0.65">
      <c r="A1" s="23" t="s">
        <v>735</v>
      </c>
      <c r="B1" s="23"/>
      <c r="C1" s="23"/>
    </row>
    <row r="3" spans="1:9" x14ac:dyDescent="0.3">
      <c r="A3" t="s">
        <v>342</v>
      </c>
      <c r="B3" t="s">
        <v>0</v>
      </c>
      <c r="C3" t="s">
        <v>343</v>
      </c>
      <c r="D3" t="s">
        <v>344</v>
      </c>
      <c r="E3" t="s">
        <v>5</v>
      </c>
      <c r="F3" t="s">
        <v>345</v>
      </c>
      <c r="G3" t="s">
        <v>346</v>
      </c>
      <c r="H3" t="s">
        <v>347</v>
      </c>
      <c r="I3" t="s">
        <v>348</v>
      </c>
    </row>
    <row r="4" spans="1:9" x14ac:dyDescent="0.3">
      <c r="A4">
        <v>1</v>
      </c>
      <c r="B4" t="s">
        <v>199</v>
      </c>
      <c r="C4" s="5">
        <v>44821</v>
      </c>
      <c r="D4">
        <v>8</v>
      </c>
      <c r="E4">
        <v>3.5</v>
      </c>
      <c r="F4">
        <v>28</v>
      </c>
      <c r="G4" t="s">
        <v>349</v>
      </c>
      <c r="H4" t="s">
        <v>350</v>
      </c>
      <c r="I4" t="s">
        <v>351</v>
      </c>
    </row>
    <row r="5" spans="1:9" x14ac:dyDescent="0.3">
      <c r="A5">
        <v>2</v>
      </c>
      <c r="B5" t="s">
        <v>297</v>
      </c>
      <c r="C5" s="5">
        <v>45575</v>
      </c>
      <c r="D5">
        <v>4</v>
      </c>
      <c r="E5">
        <v>8</v>
      </c>
      <c r="F5">
        <v>32</v>
      </c>
      <c r="G5" t="s">
        <v>352</v>
      </c>
      <c r="H5" t="s">
        <v>353</v>
      </c>
      <c r="I5" t="s">
        <v>354</v>
      </c>
    </row>
    <row r="6" spans="1:9" x14ac:dyDescent="0.3">
      <c r="A6">
        <v>3</v>
      </c>
      <c r="B6" t="s">
        <v>235</v>
      </c>
      <c r="C6" s="5">
        <v>45367</v>
      </c>
      <c r="D6">
        <v>8</v>
      </c>
      <c r="E6">
        <v>14</v>
      </c>
      <c r="F6">
        <v>112</v>
      </c>
      <c r="G6" t="s">
        <v>355</v>
      </c>
      <c r="H6" t="s">
        <v>356</v>
      </c>
      <c r="I6" t="s">
        <v>357</v>
      </c>
    </row>
    <row r="7" spans="1:9" x14ac:dyDescent="0.3">
      <c r="A7">
        <v>4</v>
      </c>
      <c r="B7" t="s">
        <v>62</v>
      </c>
      <c r="C7" s="5">
        <v>44843</v>
      </c>
      <c r="D7">
        <v>6</v>
      </c>
      <c r="E7">
        <v>5</v>
      </c>
      <c r="F7">
        <v>30</v>
      </c>
      <c r="G7" t="s">
        <v>352</v>
      </c>
      <c r="H7" t="s">
        <v>358</v>
      </c>
      <c r="I7" t="s">
        <v>351</v>
      </c>
    </row>
    <row r="8" spans="1:9" x14ac:dyDescent="0.3">
      <c r="A8">
        <v>5</v>
      </c>
      <c r="B8" t="s">
        <v>171</v>
      </c>
      <c r="C8" s="5">
        <v>44403</v>
      </c>
      <c r="D8">
        <v>10</v>
      </c>
      <c r="E8">
        <v>9.5</v>
      </c>
      <c r="F8">
        <v>95</v>
      </c>
      <c r="G8" t="s">
        <v>355</v>
      </c>
      <c r="H8" t="s">
        <v>359</v>
      </c>
      <c r="I8" t="s">
        <v>360</v>
      </c>
    </row>
    <row r="9" spans="1:9" x14ac:dyDescent="0.3">
      <c r="A9">
        <v>6</v>
      </c>
      <c r="B9" t="s">
        <v>276</v>
      </c>
      <c r="C9" s="5">
        <v>45772</v>
      </c>
      <c r="D9">
        <v>4</v>
      </c>
      <c r="E9">
        <v>8.5</v>
      </c>
      <c r="F9">
        <v>34</v>
      </c>
      <c r="G9" t="s">
        <v>352</v>
      </c>
      <c r="H9" t="s">
        <v>353</v>
      </c>
      <c r="I9" t="s">
        <v>361</v>
      </c>
    </row>
    <row r="10" spans="1:9" x14ac:dyDescent="0.3">
      <c r="A10">
        <v>7</v>
      </c>
      <c r="B10" t="s">
        <v>33</v>
      </c>
      <c r="C10" s="5">
        <v>44968</v>
      </c>
      <c r="D10">
        <v>4</v>
      </c>
      <c r="E10">
        <v>5.5</v>
      </c>
      <c r="F10">
        <v>22</v>
      </c>
      <c r="G10" t="s">
        <v>355</v>
      </c>
      <c r="H10" t="s">
        <v>362</v>
      </c>
      <c r="I10" t="s">
        <v>354</v>
      </c>
    </row>
    <row r="11" spans="1:9" x14ac:dyDescent="0.3">
      <c r="A11">
        <v>8</v>
      </c>
      <c r="B11" t="s">
        <v>160</v>
      </c>
      <c r="C11" s="5">
        <v>45454</v>
      </c>
      <c r="D11">
        <v>1</v>
      </c>
      <c r="E11">
        <v>85</v>
      </c>
      <c r="F11">
        <v>85</v>
      </c>
      <c r="G11" t="s">
        <v>352</v>
      </c>
      <c r="H11" t="s">
        <v>353</v>
      </c>
      <c r="I11" t="s">
        <v>361</v>
      </c>
    </row>
    <row r="12" spans="1:9" x14ac:dyDescent="0.3">
      <c r="A12">
        <v>9</v>
      </c>
      <c r="B12" t="s">
        <v>216</v>
      </c>
      <c r="C12" s="5">
        <v>44329</v>
      </c>
      <c r="D12">
        <v>5</v>
      </c>
      <c r="E12">
        <v>10</v>
      </c>
      <c r="F12">
        <v>50</v>
      </c>
      <c r="G12" t="s">
        <v>355</v>
      </c>
      <c r="H12" t="s">
        <v>363</v>
      </c>
      <c r="I12" t="s">
        <v>364</v>
      </c>
    </row>
    <row r="13" spans="1:9" x14ac:dyDescent="0.3">
      <c r="A13">
        <v>10</v>
      </c>
      <c r="B13" t="s">
        <v>276</v>
      </c>
      <c r="C13" s="5">
        <v>44535</v>
      </c>
      <c r="D13">
        <v>7</v>
      </c>
      <c r="E13">
        <v>8.5</v>
      </c>
      <c r="F13">
        <v>59.5</v>
      </c>
      <c r="G13" t="s">
        <v>355</v>
      </c>
      <c r="H13" t="s">
        <v>365</v>
      </c>
      <c r="I13" t="s">
        <v>354</v>
      </c>
    </row>
    <row r="14" spans="1:9" x14ac:dyDescent="0.3">
      <c r="A14">
        <v>11</v>
      </c>
      <c r="B14" t="s">
        <v>154</v>
      </c>
      <c r="C14" s="5">
        <v>44458</v>
      </c>
      <c r="D14">
        <v>5</v>
      </c>
      <c r="E14">
        <v>35</v>
      </c>
      <c r="F14">
        <v>175</v>
      </c>
      <c r="G14" t="s">
        <v>352</v>
      </c>
      <c r="H14" t="s">
        <v>353</v>
      </c>
      <c r="I14" t="s">
        <v>366</v>
      </c>
    </row>
    <row r="15" spans="1:9" x14ac:dyDescent="0.3">
      <c r="A15">
        <v>12</v>
      </c>
      <c r="B15" t="s">
        <v>297</v>
      </c>
      <c r="C15" s="5">
        <v>44075</v>
      </c>
      <c r="D15">
        <v>9</v>
      </c>
      <c r="E15">
        <v>8</v>
      </c>
      <c r="F15">
        <v>72</v>
      </c>
      <c r="G15" t="s">
        <v>355</v>
      </c>
      <c r="H15" t="s">
        <v>353</v>
      </c>
      <c r="I15" t="s">
        <v>366</v>
      </c>
    </row>
    <row r="16" spans="1:9" x14ac:dyDescent="0.3">
      <c r="A16">
        <v>13</v>
      </c>
      <c r="B16" t="s">
        <v>302</v>
      </c>
      <c r="C16" s="5">
        <v>44822</v>
      </c>
      <c r="D16">
        <v>5</v>
      </c>
      <c r="E16">
        <v>22</v>
      </c>
      <c r="F16">
        <v>110</v>
      </c>
      <c r="G16" t="s">
        <v>355</v>
      </c>
      <c r="H16" t="s">
        <v>367</v>
      </c>
      <c r="I16" t="s">
        <v>364</v>
      </c>
    </row>
    <row r="17" spans="1:9" x14ac:dyDescent="0.3">
      <c r="A17">
        <v>14</v>
      </c>
      <c r="B17" t="s">
        <v>45</v>
      </c>
      <c r="C17" s="5">
        <v>44410</v>
      </c>
      <c r="D17">
        <v>2</v>
      </c>
      <c r="E17">
        <v>28</v>
      </c>
      <c r="F17">
        <v>56</v>
      </c>
      <c r="G17" t="s">
        <v>352</v>
      </c>
      <c r="H17" t="s">
        <v>353</v>
      </c>
      <c r="I17" t="s">
        <v>357</v>
      </c>
    </row>
    <row r="18" spans="1:9" x14ac:dyDescent="0.3">
      <c r="A18">
        <v>15</v>
      </c>
      <c r="B18" t="s">
        <v>292</v>
      </c>
      <c r="C18" s="5">
        <v>44450</v>
      </c>
      <c r="D18">
        <v>1</v>
      </c>
      <c r="E18">
        <v>13</v>
      </c>
      <c r="F18">
        <v>13</v>
      </c>
      <c r="G18" t="s">
        <v>355</v>
      </c>
      <c r="H18" t="s">
        <v>368</v>
      </c>
      <c r="I18" t="s">
        <v>360</v>
      </c>
    </row>
    <row r="19" spans="1:9" x14ac:dyDescent="0.3">
      <c r="A19">
        <v>16</v>
      </c>
      <c r="B19" t="s">
        <v>17</v>
      </c>
      <c r="C19" s="5">
        <v>44964</v>
      </c>
      <c r="D19">
        <v>5</v>
      </c>
      <c r="E19">
        <v>15</v>
      </c>
      <c r="F19">
        <v>75</v>
      </c>
      <c r="G19" t="s">
        <v>355</v>
      </c>
      <c r="H19" t="s">
        <v>369</v>
      </c>
      <c r="I19" t="s">
        <v>354</v>
      </c>
    </row>
    <row r="20" spans="1:9" x14ac:dyDescent="0.3">
      <c r="A20">
        <v>17</v>
      </c>
      <c r="B20" t="s">
        <v>94</v>
      </c>
      <c r="C20" s="5">
        <v>45618</v>
      </c>
      <c r="D20">
        <v>1</v>
      </c>
      <c r="E20">
        <v>6.5</v>
      </c>
      <c r="F20">
        <v>6.5</v>
      </c>
      <c r="G20" t="s">
        <v>355</v>
      </c>
      <c r="H20" t="s">
        <v>353</v>
      </c>
      <c r="I20" t="s">
        <v>354</v>
      </c>
    </row>
    <row r="21" spans="1:9" x14ac:dyDescent="0.3">
      <c r="A21">
        <v>18</v>
      </c>
      <c r="B21" t="s">
        <v>160</v>
      </c>
      <c r="C21" s="5">
        <v>44528</v>
      </c>
      <c r="D21">
        <v>3</v>
      </c>
      <c r="E21">
        <v>85</v>
      </c>
      <c r="F21">
        <v>255</v>
      </c>
      <c r="G21" t="s">
        <v>352</v>
      </c>
      <c r="H21" t="s">
        <v>353</v>
      </c>
      <c r="I21" t="s">
        <v>354</v>
      </c>
    </row>
    <row r="22" spans="1:9" x14ac:dyDescent="0.3">
      <c r="A22">
        <v>19</v>
      </c>
      <c r="B22" t="s">
        <v>230</v>
      </c>
      <c r="C22" s="5">
        <v>45514</v>
      </c>
      <c r="D22">
        <v>2</v>
      </c>
      <c r="E22">
        <v>4.5</v>
      </c>
      <c r="F22">
        <v>9</v>
      </c>
      <c r="G22" t="s">
        <v>349</v>
      </c>
      <c r="H22" t="s">
        <v>370</v>
      </c>
      <c r="I22" t="s">
        <v>360</v>
      </c>
    </row>
    <row r="23" spans="1:9" x14ac:dyDescent="0.3">
      <c r="A23">
        <v>20</v>
      </c>
      <c r="B23" t="s">
        <v>206</v>
      </c>
      <c r="C23" s="5">
        <v>44136</v>
      </c>
      <c r="D23">
        <v>10</v>
      </c>
      <c r="E23">
        <v>280</v>
      </c>
      <c r="F23">
        <v>2800</v>
      </c>
      <c r="G23" t="s">
        <v>349</v>
      </c>
      <c r="H23" t="s">
        <v>353</v>
      </c>
      <c r="I23" t="s">
        <v>366</v>
      </c>
    </row>
    <row r="24" spans="1:9" x14ac:dyDescent="0.3">
      <c r="A24">
        <v>21</v>
      </c>
      <c r="B24" t="s">
        <v>230</v>
      </c>
      <c r="C24" s="5">
        <v>44973</v>
      </c>
      <c r="D24">
        <v>7</v>
      </c>
      <c r="E24">
        <v>4.5</v>
      </c>
      <c r="F24">
        <v>31.5</v>
      </c>
      <c r="G24" t="s">
        <v>355</v>
      </c>
      <c r="H24" t="s">
        <v>371</v>
      </c>
      <c r="I24" t="s">
        <v>366</v>
      </c>
    </row>
    <row r="25" spans="1:9" x14ac:dyDescent="0.3">
      <c r="A25">
        <v>22</v>
      </c>
      <c r="B25" t="s">
        <v>199</v>
      </c>
      <c r="C25" s="5">
        <v>44901</v>
      </c>
      <c r="D25">
        <v>7</v>
      </c>
      <c r="E25">
        <v>3.5</v>
      </c>
      <c r="F25">
        <v>24.5</v>
      </c>
      <c r="G25" t="s">
        <v>349</v>
      </c>
      <c r="H25" t="s">
        <v>372</v>
      </c>
      <c r="I25" t="s">
        <v>373</v>
      </c>
    </row>
    <row r="26" spans="1:9" x14ac:dyDescent="0.3">
      <c r="A26">
        <v>23</v>
      </c>
      <c r="B26" t="s">
        <v>114</v>
      </c>
      <c r="C26" s="5">
        <v>44456</v>
      </c>
      <c r="D26">
        <v>10</v>
      </c>
      <c r="E26">
        <v>7</v>
      </c>
      <c r="F26">
        <v>70</v>
      </c>
      <c r="G26" t="s">
        <v>355</v>
      </c>
      <c r="H26" t="s">
        <v>353</v>
      </c>
      <c r="I26" t="s">
        <v>374</v>
      </c>
    </row>
    <row r="27" spans="1:9" x14ac:dyDescent="0.3">
      <c r="A27">
        <v>24</v>
      </c>
      <c r="B27" t="s">
        <v>120</v>
      </c>
      <c r="C27" s="5">
        <v>44256</v>
      </c>
      <c r="D27">
        <v>4</v>
      </c>
      <c r="E27">
        <v>35</v>
      </c>
      <c r="F27">
        <v>140</v>
      </c>
      <c r="G27" t="s">
        <v>349</v>
      </c>
      <c r="H27" t="s">
        <v>375</v>
      </c>
      <c r="I27" t="s">
        <v>366</v>
      </c>
    </row>
    <row r="28" spans="1:9" x14ac:dyDescent="0.3">
      <c r="A28">
        <v>25</v>
      </c>
      <c r="B28" t="s">
        <v>292</v>
      </c>
      <c r="C28" s="5">
        <v>44961</v>
      </c>
      <c r="D28">
        <v>2</v>
      </c>
      <c r="E28">
        <v>13</v>
      </c>
      <c r="F28">
        <v>26</v>
      </c>
      <c r="G28" t="s">
        <v>352</v>
      </c>
      <c r="H28" t="s">
        <v>353</v>
      </c>
      <c r="I28" t="s">
        <v>354</v>
      </c>
    </row>
    <row r="29" spans="1:9" x14ac:dyDescent="0.3">
      <c r="A29">
        <v>26</v>
      </c>
      <c r="B29" t="s">
        <v>216</v>
      </c>
      <c r="C29" s="5">
        <v>45047</v>
      </c>
      <c r="D29">
        <v>8</v>
      </c>
      <c r="E29">
        <v>10</v>
      </c>
      <c r="F29">
        <v>80</v>
      </c>
      <c r="G29" t="s">
        <v>349</v>
      </c>
      <c r="H29" t="s">
        <v>353</v>
      </c>
      <c r="I29" t="s">
        <v>351</v>
      </c>
    </row>
    <row r="30" spans="1:9" x14ac:dyDescent="0.3">
      <c r="A30">
        <v>27</v>
      </c>
      <c r="B30" t="s">
        <v>266</v>
      </c>
      <c r="C30" s="5">
        <v>44410</v>
      </c>
      <c r="D30">
        <v>8</v>
      </c>
      <c r="E30">
        <v>95</v>
      </c>
      <c r="F30">
        <v>760</v>
      </c>
      <c r="G30" t="s">
        <v>352</v>
      </c>
      <c r="H30" t="s">
        <v>376</v>
      </c>
      <c r="I30" t="s">
        <v>373</v>
      </c>
    </row>
    <row r="31" spans="1:9" x14ac:dyDescent="0.3">
      <c r="A31">
        <v>28</v>
      </c>
      <c r="B31" t="s">
        <v>256</v>
      </c>
      <c r="C31" s="5">
        <v>45477</v>
      </c>
      <c r="D31">
        <v>4</v>
      </c>
      <c r="E31">
        <v>32</v>
      </c>
      <c r="F31">
        <v>128</v>
      </c>
      <c r="G31" t="s">
        <v>349</v>
      </c>
      <c r="H31" t="s">
        <v>353</v>
      </c>
      <c r="I31" t="s">
        <v>366</v>
      </c>
    </row>
    <row r="32" spans="1:9" x14ac:dyDescent="0.3">
      <c r="A32">
        <v>29</v>
      </c>
      <c r="B32" t="s">
        <v>134</v>
      </c>
      <c r="C32" s="5">
        <v>44136</v>
      </c>
      <c r="D32">
        <v>5</v>
      </c>
      <c r="E32">
        <v>38</v>
      </c>
      <c r="F32">
        <v>190</v>
      </c>
      <c r="G32" t="s">
        <v>352</v>
      </c>
      <c r="H32" t="s">
        <v>353</v>
      </c>
      <c r="I32" t="s">
        <v>377</v>
      </c>
    </row>
    <row r="33" spans="1:9" x14ac:dyDescent="0.3">
      <c r="A33">
        <v>30</v>
      </c>
      <c r="B33" t="s">
        <v>144</v>
      </c>
      <c r="C33" s="5">
        <v>45049</v>
      </c>
      <c r="D33">
        <v>10</v>
      </c>
      <c r="E33">
        <v>20</v>
      </c>
      <c r="F33">
        <v>200</v>
      </c>
      <c r="G33" t="s">
        <v>349</v>
      </c>
      <c r="H33" t="s">
        <v>378</v>
      </c>
      <c r="I33" t="s">
        <v>351</v>
      </c>
    </row>
    <row r="34" spans="1:9" x14ac:dyDescent="0.3">
      <c r="A34">
        <v>31</v>
      </c>
      <c r="B34" t="s">
        <v>216</v>
      </c>
      <c r="C34" s="5">
        <v>44655</v>
      </c>
      <c r="D34">
        <v>5</v>
      </c>
      <c r="E34">
        <v>10</v>
      </c>
      <c r="F34">
        <v>50</v>
      </c>
      <c r="G34" t="s">
        <v>355</v>
      </c>
      <c r="H34" t="s">
        <v>379</v>
      </c>
      <c r="I34" t="s">
        <v>374</v>
      </c>
    </row>
    <row r="35" spans="1:9" x14ac:dyDescent="0.3">
      <c r="A35">
        <v>32</v>
      </c>
      <c r="B35" t="s">
        <v>45</v>
      </c>
      <c r="C35" s="5">
        <v>43912</v>
      </c>
      <c r="D35">
        <v>7</v>
      </c>
      <c r="E35">
        <v>28</v>
      </c>
      <c r="F35">
        <v>196</v>
      </c>
      <c r="G35" t="s">
        <v>355</v>
      </c>
      <c r="H35" t="s">
        <v>380</v>
      </c>
      <c r="I35" t="s">
        <v>360</v>
      </c>
    </row>
    <row r="36" spans="1:9" x14ac:dyDescent="0.3">
      <c r="A36">
        <v>33</v>
      </c>
      <c r="B36" t="s">
        <v>124</v>
      </c>
      <c r="C36" s="5">
        <v>44299</v>
      </c>
      <c r="D36">
        <v>10</v>
      </c>
      <c r="E36">
        <v>22</v>
      </c>
      <c r="F36">
        <v>220</v>
      </c>
      <c r="G36" t="s">
        <v>355</v>
      </c>
      <c r="H36" t="s">
        <v>381</v>
      </c>
      <c r="I36" t="s">
        <v>351</v>
      </c>
    </row>
    <row r="37" spans="1:9" x14ac:dyDescent="0.3">
      <c r="A37">
        <v>34</v>
      </c>
      <c r="B37" t="s">
        <v>247</v>
      </c>
      <c r="C37" s="5">
        <v>43913</v>
      </c>
      <c r="D37">
        <v>3</v>
      </c>
      <c r="E37">
        <v>11</v>
      </c>
      <c r="F37">
        <v>33</v>
      </c>
      <c r="G37" t="s">
        <v>349</v>
      </c>
      <c r="H37" t="s">
        <v>382</v>
      </c>
      <c r="I37" t="s">
        <v>351</v>
      </c>
    </row>
    <row r="38" spans="1:9" x14ac:dyDescent="0.3">
      <c r="A38">
        <v>35</v>
      </c>
      <c r="B38" t="s">
        <v>292</v>
      </c>
      <c r="C38" s="5">
        <v>45029</v>
      </c>
      <c r="D38">
        <v>7</v>
      </c>
      <c r="E38">
        <v>13</v>
      </c>
      <c r="F38">
        <v>91</v>
      </c>
      <c r="G38" t="s">
        <v>355</v>
      </c>
      <c r="H38" t="s">
        <v>383</v>
      </c>
      <c r="I38" t="s">
        <v>354</v>
      </c>
    </row>
    <row r="39" spans="1:9" x14ac:dyDescent="0.3">
      <c r="A39">
        <v>36</v>
      </c>
      <c r="B39" t="s">
        <v>105</v>
      </c>
      <c r="C39" s="5">
        <v>44667</v>
      </c>
      <c r="D39">
        <v>6</v>
      </c>
      <c r="E39">
        <v>7.5</v>
      </c>
      <c r="F39">
        <v>45</v>
      </c>
      <c r="G39" t="s">
        <v>349</v>
      </c>
      <c r="H39" t="s">
        <v>384</v>
      </c>
      <c r="I39" t="s">
        <v>377</v>
      </c>
    </row>
    <row r="40" spans="1:9" x14ac:dyDescent="0.3">
      <c r="A40">
        <v>37</v>
      </c>
      <c r="B40" t="s">
        <v>171</v>
      </c>
      <c r="C40" s="5">
        <v>44674</v>
      </c>
      <c r="D40">
        <v>8</v>
      </c>
      <c r="E40">
        <v>9.5</v>
      </c>
      <c r="F40">
        <v>76</v>
      </c>
      <c r="G40" t="s">
        <v>349</v>
      </c>
      <c r="H40" t="s">
        <v>385</v>
      </c>
      <c r="I40" t="s">
        <v>364</v>
      </c>
    </row>
    <row r="41" spans="1:9" x14ac:dyDescent="0.3">
      <c r="A41">
        <v>38</v>
      </c>
      <c r="B41" t="s">
        <v>288</v>
      </c>
      <c r="C41" s="5">
        <v>44762</v>
      </c>
      <c r="D41">
        <v>2</v>
      </c>
      <c r="E41">
        <v>8.75</v>
      </c>
      <c r="F41">
        <v>17.5</v>
      </c>
      <c r="G41" t="s">
        <v>349</v>
      </c>
      <c r="H41" t="s">
        <v>353</v>
      </c>
      <c r="I41" t="s">
        <v>374</v>
      </c>
    </row>
    <row r="42" spans="1:9" x14ac:dyDescent="0.3">
      <c r="A42">
        <v>39</v>
      </c>
      <c r="B42" t="s">
        <v>199</v>
      </c>
      <c r="C42" s="5">
        <v>44658</v>
      </c>
      <c r="D42">
        <v>9</v>
      </c>
      <c r="E42">
        <v>3.5</v>
      </c>
      <c r="F42">
        <v>31.5</v>
      </c>
      <c r="G42" t="s">
        <v>352</v>
      </c>
      <c r="H42" t="s">
        <v>386</v>
      </c>
      <c r="I42" t="s">
        <v>354</v>
      </c>
    </row>
    <row r="43" spans="1:9" x14ac:dyDescent="0.3">
      <c r="A43">
        <v>40</v>
      </c>
      <c r="B43" t="s">
        <v>128</v>
      </c>
      <c r="C43" s="5">
        <v>43942</v>
      </c>
      <c r="D43">
        <v>4</v>
      </c>
      <c r="E43">
        <v>16</v>
      </c>
      <c r="F43">
        <v>64</v>
      </c>
      <c r="G43" t="s">
        <v>355</v>
      </c>
      <c r="H43" t="s">
        <v>387</v>
      </c>
      <c r="I43" t="s">
        <v>354</v>
      </c>
    </row>
    <row r="44" spans="1:9" x14ac:dyDescent="0.3">
      <c r="A44">
        <v>41</v>
      </c>
      <c r="B44" t="s">
        <v>56</v>
      </c>
      <c r="C44" s="5">
        <v>44736</v>
      </c>
      <c r="D44">
        <v>1</v>
      </c>
      <c r="E44">
        <v>55</v>
      </c>
      <c r="F44">
        <v>55</v>
      </c>
      <c r="G44" t="s">
        <v>352</v>
      </c>
      <c r="H44" t="s">
        <v>353</v>
      </c>
      <c r="I44" t="s">
        <v>377</v>
      </c>
    </row>
    <row r="45" spans="1:9" x14ac:dyDescent="0.3">
      <c r="A45">
        <v>42</v>
      </c>
      <c r="B45" t="s">
        <v>139</v>
      </c>
      <c r="C45" s="5">
        <v>44728</v>
      </c>
      <c r="D45">
        <v>8</v>
      </c>
      <c r="E45">
        <v>6</v>
      </c>
      <c r="F45">
        <v>48</v>
      </c>
      <c r="G45" t="s">
        <v>352</v>
      </c>
      <c r="H45" t="s">
        <v>353</v>
      </c>
      <c r="I45" t="s">
        <v>373</v>
      </c>
    </row>
    <row r="46" spans="1:9" x14ac:dyDescent="0.3">
      <c r="A46">
        <v>43</v>
      </c>
      <c r="B46" t="s">
        <v>235</v>
      </c>
      <c r="C46" s="5">
        <v>45284</v>
      </c>
      <c r="D46">
        <v>3</v>
      </c>
      <c r="E46">
        <v>14</v>
      </c>
      <c r="F46">
        <v>42</v>
      </c>
      <c r="G46" t="s">
        <v>349</v>
      </c>
      <c r="H46" t="s">
        <v>388</v>
      </c>
      <c r="I46" t="s">
        <v>361</v>
      </c>
    </row>
    <row r="47" spans="1:9" x14ac:dyDescent="0.3">
      <c r="A47">
        <v>44</v>
      </c>
      <c r="B47" t="s">
        <v>124</v>
      </c>
      <c r="C47" s="5">
        <v>44291</v>
      </c>
      <c r="D47">
        <v>2</v>
      </c>
      <c r="E47">
        <v>22</v>
      </c>
      <c r="F47">
        <v>44</v>
      </c>
      <c r="G47" t="s">
        <v>349</v>
      </c>
      <c r="H47" t="s">
        <v>389</v>
      </c>
      <c r="I47" t="s">
        <v>377</v>
      </c>
    </row>
    <row r="48" spans="1:9" x14ac:dyDescent="0.3">
      <c r="A48">
        <v>45</v>
      </c>
      <c r="B48" t="s">
        <v>33</v>
      </c>
      <c r="C48" s="5">
        <v>45741</v>
      </c>
      <c r="D48">
        <v>5</v>
      </c>
      <c r="E48">
        <v>5.5</v>
      </c>
      <c r="F48">
        <v>27.5</v>
      </c>
      <c r="G48" t="s">
        <v>355</v>
      </c>
      <c r="H48" t="s">
        <v>390</v>
      </c>
      <c r="I48" t="s">
        <v>354</v>
      </c>
    </row>
    <row r="49" spans="1:9" x14ac:dyDescent="0.3">
      <c r="A49">
        <v>46</v>
      </c>
      <c r="B49" t="s">
        <v>211</v>
      </c>
      <c r="C49" s="5">
        <v>44330</v>
      </c>
      <c r="D49">
        <v>8</v>
      </c>
      <c r="E49">
        <v>19</v>
      </c>
      <c r="F49">
        <v>152</v>
      </c>
      <c r="G49" t="s">
        <v>355</v>
      </c>
      <c r="H49" t="s">
        <v>353</v>
      </c>
      <c r="I49" t="s">
        <v>366</v>
      </c>
    </row>
    <row r="50" spans="1:9" x14ac:dyDescent="0.3">
      <c r="A50">
        <v>47</v>
      </c>
      <c r="B50" t="s">
        <v>45</v>
      </c>
      <c r="C50" s="5">
        <v>44871</v>
      </c>
      <c r="D50">
        <v>3</v>
      </c>
      <c r="E50">
        <v>28</v>
      </c>
      <c r="F50">
        <v>84</v>
      </c>
      <c r="G50" t="s">
        <v>352</v>
      </c>
      <c r="H50" t="s">
        <v>353</v>
      </c>
      <c r="I50" t="s">
        <v>361</v>
      </c>
    </row>
    <row r="51" spans="1:9" x14ac:dyDescent="0.3">
      <c r="A51">
        <v>48</v>
      </c>
      <c r="B51" t="s">
        <v>171</v>
      </c>
      <c r="C51" s="5">
        <v>45744</v>
      </c>
      <c r="D51">
        <v>9</v>
      </c>
      <c r="E51">
        <v>9.5</v>
      </c>
      <c r="F51">
        <v>85.5</v>
      </c>
      <c r="G51" t="s">
        <v>349</v>
      </c>
      <c r="H51" t="s">
        <v>391</v>
      </c>
      <c r="I51" t="s">
        <v>351</v>
      </c>
    </row>
    <row r="52" spans="1:9" x14ac:dyDescent="0.3">
      <c r="A52">
        <v>49</v>
      </c>
      <c r="B52" t="s">
        <v>251</v>
      </c>
      <c r="C52" s="5">
        <v>45018</v>
      </c>
      <c r="D52">
        <v>8</v>
      </c>
      <c r="E52">
        <v>22</v>
      </c>
      <c r="F52">
        <v>176</v>
      </c>
      <c r="G52" t="s">
        <v>352</v>
      </c>
      <c r="H52" t="s">
        <v>392</v>
      </c>
      <c r="I52" t="s">
        <v>357</v>
      </c>
    </row>
    <row r="53" spans="1:9" x14ac:dyDescent="0.3">
      <c r="A53">
        <v>50</v>
      </c>
      <c r="B53" t="s">
        <v>171</v>
      </c>
      <c r="C53" s="5">
        <v>44961</v>
      </c>
      <c r="D53">
        <v>9</v>
      </c>
      <c r="E53">
        <v>9.5</v>
      </c>
      <c r="F53">
        <v>85.5</v>
      </c>
      <c r="G53" t="s">
        <v>349</v>
      </c>
      <c r="H53" t="s">
        <v>393</v>
      </c>
      <c r="I53" t="s">
        <v>366</v>
      </c>
    </row>
    <row r="54" spans="1:9" x14ac:dyDescent="0.3">
      <c r="A54">
        <v>51</v>
      </c>
      <c r="B54" t="s">
        <v>216</v>
      </c>
      <c r="C54" s="5">
        <v>44320</v>
      </c>
      <c r="D54">
        <v>10</v>
      </c>
      <c r="E54">
        <v>10</v>
      </c>
      <c r="F54">
        <v>100</v>
      </c>
      <c r="G54" t="s">
        <v>349</v>
      </c>
      <c r="H54" t="s">
        <v>353</v>
      </c>
      <c r="I54" t="s">
        <v>361</v>
      </c>
    </row>
    <row r="55" spans="1:9" x14ac:dyDescent="0.3">
      <c r="A55">
        <v>52</v>
      </c>
      <c r="B55" t="s">
        <v>288</v>
      </c>
      <c r="C55" s="5">
        <v>44482</v>
      </c>
      <c r="D55">
        <v>8</v>
      </c>
      <c r="E55">
        <v>8.75</v>
      </c>
      <c r="F55">
        <v>70</v>
      </c>
      <c r="G55" t="s">
        <v>355</v>
      </c>
      <c r="H55" t="s">
        <v>394</v>
      </c>
      <c r="I55" t="s">
        <v>361</v>
      </c>
    </row>
    <row r="56" spans="1:9" x14ac:dyDescent="0.3">
      <c r="A56">
        <v>53</v>
      </c>
      <c r="B56" t="s">
        <v>256</v>
      </c>
      <c r="C56" s="5">
        <v>45453</v>
      </c>
      <c r="D56">
        <v>3</v>
      </c>
      <c r="E56">
        <v>32</v>
      </c>
      <c r="F56">
        <v>96</v>
      </c>
      <c r="G56" t="s">
        <v>349</v>
      </c>
      <c r="H56" t="s">
        <v>395</v>
      </c>
      <c r="I56" t="s">
        <v>364</v>
      </c>
    </row>
    <row r="57" spans="1:9" x14ac:dyDescent="0.3">
      <c r="A57">
        <v>54</v>
      </c>
      <c r="B57" t="s">
        <v>251</v>
      </c>
      <c r="C57" s="5">
        <v>44510</v>
      </c>
      <c r="D57">
        <v>2</v>
      </c>
      <c r="E57">
        <v>22</v>
      </c>
      <c r="F57">
        <v>44</v>
      </c>
      <c r="G57" t="s">
        <v>349</v>
      </c>
      <c r="H57" t="s">
        <v>353</v>
      </c>
      <c r="I57" t="s">
        <v>354</v>
      </c>
    </row>
    <row r="58" spans="1:9" x14ac:dyDescent="0.3">
      <c r="A58">
        <v>55</v>
      </c>
      <c r="B58" t="s">
        <v>82</v>
      </c>
      <c r="C58" s="5">
        <v>45310</v>
      </c>
      <c r="D58">
        <v>3</v>
      </c>
      <c r="E58">
        <v>12.5</v>
      </c>
      <c r="F58">
        <v>37.5</v>
      </c>
      <c r="G58" t="s">
        <v>349</v>
      </c>
      <c r="H58" t="s">
        <v>396</v>
      </c>
      <c r="I58" t="s">
        <v>374</v>
      </c>
    </row>
    <row r="59" spans="1:9" x14ac:dyDescent="0.3">
      <c r="A59">
        <v>56</v>
      </c>
      <c r="B59" t="s">
        <v>211</v>
      </c>
      <c r="C59" s="5">
        <v>45431</v>
      </c>
      <c r="D59">
        <v>5</v>
      </c>
      <c r="E59">
        <v>19</v>
      </c>
      <c r="F59">
        <v>95</v>
      </c>
      <c r="G59" t="s">
        <v>349</v>
      </c>
      <c r="H59" t="s">
        <v>397</v>
      </c>
      <c r="I59" t="s">
        <v>374</v>
      </c>
    </row>
    <row r="60" spans="1:9" x14ac:dyDescent="0.3">
      <c r="A60">
        <v>57</v>
      </c>
      <c r="B60" t="s">
        <v>171</v>
      </c>
      <c r="C60" s="5">
        <v>45576</v>
      </c>
      <c r="D60">
        <v>9</v>
      </c>
      <c r="E60">
        <v>9.5</v>
      </c>
      <c r="F60">
        <v>85.5</v>
      </c>
      <c r="G60" t="s">
        <v>349</v>
      </c>
      <c r="H60" t="s">
        <v>398</v>
      </c>
      <c r="I60" t="s">
        <v>354</v>
      </c>
    </row>
    <row r="61" spans="1:9" x14ac:dyDescent="0.3">
      <c r="A61">
        <v>58</v>
      </c>
      <c r="B61" t="s">
        <v>39</v>
      </c>
      <c r="C61" s="5">
        <v>43904</v>
      </c>
      <c r="D61">
        <v>10</v>
      </c>
      <c r="E61">
        <v>4.5</v>
      </c>
      <c r="F61">
        <v>45</v>
      </c>
      <c r="G61" t="s">
        <v>352</v>
      </c>
      <c r="H61" t="s">
        <v>353</v>
      </c>
      <c r="I61" t="s">
        <v>351</v>
      </c>
    </row>
    <row r="62" spans="1:9" x14ac:dyDescent="0.3">
      <c r="A62">
        <v>59</v>
      </c>
      <c r="B62" t="s">
        <v>26</v>
      </c>
      <c r="C62" s="5">
        <v>45360</v>
      </c>
      <c r="D62">
        <v>2</v>
      </c>
      <c r="E62">
        <v>18</v>
      </c>
      <c r="F62">
        <v>36</v>
      </c>
      <c r="G62" t="s">
        <v>349</v>
      </c>
      <c r="H62" t="s">
        <v>399</v>
      </c>
      <c r="I62" t="s">
        <v>374</v>
      </c>
    </row>
    <row r="63" spans="1:9" x14ac:dyDescent="0.3">
      <c r="A63">
        <v>60</v>
      </c>
      <c r="B63" t="s">
        <v>160</v>
      </c>
      <c r="C63" s="5">
        <v>44171</v>
      </c>
      <c r="D63">
        <v>5</v>
      </c>
      <c r="E63">
        <v>85</v>
      </c>
      <c r="F63">
        <v>425</v>
      </c>
      <c r="G63" t="s">
        <v>352</v>
      </c>
      <c r="H63" t="s">
        <v>353</v>
      </c>
      <c r="I63" t="s">
        <v>360</v>
      </c>
    </row>
    <row r="64" spans="1:9" x14ac:dyDescent="0.3">
      <c r="A64">
        <v>61</v>
      </c>
      <c r="B64" t="s">
        <v>139</v>
      </c>
      <c r="C64" s="5">
        <v>44565</v>
      </c>
      <c r="D64">
        <v>6</v>
      </c>
      <c r="E64">
        <v>6</v>
      </c>
      <c r="F64">
        <v>36</v>
      </c>
      <c r="G64" t="s">
        <v>349</v>
      </c>
      <c r="H64" t="s">
        <v>353</v>
      </c>
      <c r="I64" t="s">
        <v>364</v>
      </c>
    </row>
    <row r="65" spans="1:9" x14ac:dyDescent="0.3">
      <c r="A65">
        <v>62</v>
      </c>
      <c r="B65" t="s">
        <v>128</v>
      </c>
      <c r="C65" s="5">
        <v>44990</v>
      </c>
      <c r="D65">
        <v>3</v>
      </c>
      <c r="E65">
        <v>16</v>
      </c>
      <c r="F65">
        <v>48</v>
      </c>
      <c r="G65" t="s">
        <v>352</v>
      </c>
      <c r="H65" t="s">
        <v>353</v>
      </c>
      <c r="I65" t="s">
        <v>373</v>
      </c>
    </row>
    <row r="66" spans="1:9" x14ac:dyDescent="0.3">
      <c r="A66">
        <v>63</v>
      </c>
      <c r="B66" t="s">
        <v>195</v>
      </c>
      <c r="C66" s="5">
        <v>45100</v>
      </c>
      <c r="D66">
        <v>4</v>
      </c>
      <c r="E66">
        <v>3.5</v>
      </c>
      <c r="F66">
        <v>14</v>
      </c>
      <c r="G66" t="s">
        <v>349</v>
      </c>
      <c r="H66" t="s">
        <v>400</v>
      </c>
      <c r="I66" t="s">
        <v>366</v>
      </c>
    </row>
    <row r="67" spans="1:9" x14ac:dyDescent="0.3">
      <c r="A67">
        <v>64</v>
      </c>
      <c r="B67" t="s">
        <v>176</v>
      </c>
      <c r="C67" s="5">
        <v>45137</v>
      </c>
      <c r="D67">
        <v>5</v>
      </c>
      <c r="E67">
        <v>4</v>
      </c>
      <c r="F67">
        <v>20</v>
      </c>
      <c r="G67" t="s">
        <v>349</v>
      </c>
      <c r="H67" t="s">
        <v>353</v>
      </c>
      <c r="I67" t="s">
        <v>360</v>
      </c>
    </row>
    <row r="68" spans="1:9" x14ac:dyDescent="0.3">
      <c r="A68">
        <v>65</v>
      </c>
      <c r="B68" t="s">
        <v>176</v>
      </c>
      <c r="C68" s="5">
        <v>45676</v>
      </c>
      <c r="D68">
        <v>5</v>
      </c>
      <c r="E68">
        <v>4</v>
      </c>
      <c r="F68">
        <v>20</v>
      </c>
      <c r="G68" t="s">
        <v>355</v>
      </c>
      <c r="H68" t="s">
        <v>401</v>
      </c>
      <c r="I68" t="s">
        <v>354</v>
      </c>
    </row>
    <row r="69" spans="1:9" x14ac:dyDescent="0.3">
      <c r="A69">
        <v>66</v>
      </c>
      <c r="B69" t="s">
        <v>105</v>
      </c>
      <c r="C69" s="5">
        <v>45034</v>
      </c>
      <c r="D69">
        <v>5</v>
      </c>
      <c r="E69">
        <v>7.5</v>
      </c>
      <c r="F69">
        <v>37.5</v>
      </c>
      <c r="G69" t="s">
        <v>355</v>
      </c>
      <c r="H69" t="s">
        <v>402</v>
      </c>
      <c r="I69" t="s">
        <v>351</v>
      </c>
    </row>
    <row r="70" spans="1:9" x14ac:dyDescent="0.3">
      <c r="A70">
        <v>67</v>
      </c>
      <c r="B70" t="s">
        <v>176</v>
      </c>
      <c r="C70" s="5">
        <v>45562</v>
      </c>
      <c r="D70">
        <v>5</v>
      </c>
      <c r="E70">
        <v>4</v>
      </c>
      <c r="F70">
        <v>20</v>
      </c>
      <c r="G70" t="s">
        <v>352</v>
      </c>
      <c r="H70" t="s">
        <v>403</v>
      </c>
      <c r="I70" t="s">
        <v>354</v>
      </c>
    </row>
    <row r="71" spans="1:9" x14ac:dyDescent="0.3">
      <c r="A71">
        <v>68</v>
      </c>
      <c r="B71" t="s">
        <v>94</v>
      </c>
      <c r="C71" s="5">
        <v>44316</v>
      </c>
      <c r="D71">
        <v>7</v>
      </c>
      <c r="E71">
        <v>6.5</v>
      </c>
      <c r="F71">
        <v>45.5</v>
      </c>
      <c r="G71" t="s">
        <v>355</v>
      </c>
      <c r="H71" t="s">
        <v>404</v>
      </c>
      <c r="I71" t="s">
        <v>351</v>
      </c>
    </row>
    <row r="72" spans="1:9" x14ac:dyDescent="0.3">
      <c r="A72">
        <v>69</v>
      </c>
      <c r="B72" t="s">
        <v>62</v>
      </c>
      <c r="C72" s="5">
        <v>45833</v>
      </c>
      <c r="D72">
        <v>7</v>
      </c>
      <c r="E72">
        <v>5</v>
      </c>
      <c r="F72">
        <v>35</v>
      </c>
      <c r="G72" t="s">
        <v>349</v>
      </c>
      <c r="H72" t="s">
        <v>353</v>
      </c>
      <c r="I72" t="s">
        <v>360</v>
      </c>
    </row>
    <row r="73" spans="1:9" x14ac:dyDescent="0.3">
      <c r="A73">
        <v>70</v>
      </c>
      <c r="B73" t="s">
        <v>45</v>
      </c>
      <c r="C73" s="5">
        <v>45357</v>
      </c>
      <c r="D73">
        <v>8</v>
      </c>
      <c r="E73">
        <v>28</v>
      </c>
      <c r="F73">
        <v>224</v>
      </c>
      <c r="G73" t="s">
        <v>349</v>
      </c>
      <c r="H73" t="s">
        <v>405</v>
      </c>
      <c r="I73" t="s">
        <v>373</v>
      </c>
    </row>
    <row r="74" spans="1:9" x14ac:dyDescent="0.3">
      <c r="A74">
        <v>71</v>
      </c>
      <c r="B74" t="s">
        <v>105</v>
      </c>
      <c r="C74" s="5">
        <v>44279</v>
      </c>
      <c r="D74">
        <v>4</v>
      </c>
      <c r="E74">
        <v>7.5</v>
      </c>
      <c r="F74">
        <v>30</v>
      </c>
      <c r="G74" t="s">
        <v>355</v>
      </c>
      <c r="H74" t="s">
        <v>353</v>
      </c>
      <c r="I74" t="s">
        <v>377</v>
      </c>
    </row>
    <row r="75" spans="1:9" x14ac:dyDescent="0.3">
      <c r="A75">
        <v>72</v>
      </c>
      <c r="B75" t="s">
        <v>56</v>
      </c>
      <c r="C75" s="5">
        <v>44029</v>
      </c>
      <c r="D75">
        <v>1</v>
      </c>
      <c r="E75">
        <v>55</v>
      </c>
      <c r="F75">
        <v>55</v>
      </c>
      <c r="G75" t="s">
        <v>349</v>
      </c>
      <c r="H75" t="s">
        <v>406</v>
      </c>
      <c r="I75" t="s">
        <v>373</v>
      </c>
    </row>
    <row r="76" spans="1:9" x14ac:dyDescent="0.3">
      <c r="A76">
        <v>73</v>
      </c>
      <c r="B76" t="s">
        <v>149</v>
      </c>
      <c r="C76" s="5">
        <v>45330</v>
      </c>
      <c r="D76">
        <v>3</v>
      </c>
      <c r="E76">
        <v>11.5</v>
      </c>
      <c r="F76">
        <v>34.5</v>
      </c>
      <c r="G76" t="s">
        <v>352</v>
      </c>
      <c r="H76" t="s">
        <v>407</v>
      </c>
      <c r="I76" t="s">
        <v>361</v>
      </c>
    </row>
    <row r="77" spans="1:9" x14ac:dyDescent="0.3">
      <c r="A77">
        <v>74</v>
      </c>
      <c r="B77" t="s">
        <v>292</v>
      </c>
      <c r="C77" s="5">
        <v>44242</v>
      </c>
      <c r="D77">
        <v>3</v>
      </c>
      <c r="E77">
        <v>13</v>
      </c>
      <c r="F77">
        <v>39</v>
      </c>
      <c r="G77" t="s">
        <v>355</v>
      </c>
      <c r="H77" t="s">
        <v>408</v>
      </c>
      <c r="I77" t="s">
        <v>364</v>
      </c>
    </row>
    <row r="78" spans="1:9" x14ac:dyDescent="0.3">
      <c r="A78">
        <v>75</v>
      </c>
      <c r="B78" t="s">
        <v>180</v>
      </c>
      <c r="C78" s="5">
        <v>45701</v>
      </c>
      <c r="D78">
        <v>5</v>
      </c>
      <c r="E78">
        <v>12</v>
      </c>
      <c r="F78">
        <v>60</v>
      </c>
      <c r="G78" t="s">
        <v>352</v>
      </c>
      <c r="H78" t="s">
        <v>353</v>
      </c>
      <c r="I78" t="s">
        <v>354</v>
      </c>
    </row>
    <row r="79" spans="1:9" x14ac:dyDescent="0.3">
      <c r="A79">
        <v>76</v>
      </c>
      <c r="B79" t="s">
        <v>139</v>
      </c>
      <c r="C79" s="5">
        <v>45359</v>
      </c>
      <c r="D79">
        <v>6</v>
      </c>
      <c r="E79">
        <v>6</v>
      </c>
      <c r="F79">
        <v>36</v>
      </c>
      <c r="G79" t="s">
        <v>352</v>
      </c>
      <c r="H79" t="s">
        <v>409</v>
      </c>
      <c r="I79" t="s">
        <v>377</v>
      </c>
    </row>
    <row r="80" spans="1:9" x14ac:dyDescent="0.3">
      <c r="A80">
        <v>77</v>
      </c>
      <c r="B80" t="s">
        <v>120</v>
      </c>
      <c r="C80" s="5">
        <v>45810</v>
      </c>
      <c r="D80">
        <v>4</v>
      </c>
      <c r="E80">
        <v>35</v>
      </c>
      <c r="F80">
        <v>140</v>
      </c>
      <c r="G80" t="s">
        <v>355</v>
      </c>
      <c r="H80" t="s">
        <v>410</v>
      </c>
      <c r="I80" t="s">
        <v>364</v>
      </c>
    </row>
    <row r="81" spans="1:9" x14ac:dyDescent="0.3">
      <c r="A81">
        <v>78</v>
      </c>
      <c r="B81" t="s">
        <v>149</v>
      </c>
      <c r="C81" s="5">
        <v>44015</v>
      </c>
      <c r="D81">
        <v>7</v>
      </c>
      <c r="E81">
        <v>11.5</v>
      </c>
      <c r="F81">
        <v>80.5</v>
      </c>
      <c r="G81" t="s">
        <v>352</v>
      </c>
      <c r="H81" t="s">
        <v>353</v>
      </c>
      <c r="I81" t="s">
        <v>374</v>
      </c>
    </row>
    <row r="82" spans="1:9" x14ac:dyDescent="0.3">
      <c r="A82">
        <v>79</v>
      </c>
      <c r="B82" t="s">
        <v>176</v>
      </c>
      <c r="C82" s="5">
        <v>44585</v>
      </c>
      <c r="D82">
        <v>5</v>
      </c>
      <c r="E82">
        <v>4</v>
      </c>
      <c r="F82">
        <v>20</v>
      </c>
      <c r="G82" t="s">
        <v>355</v>
      </c>
      <c r="H82" t="s">
        <v>411</v>
      </c>
      <c r="I82" t="s">
        <v>357</v>
      </c>
    </row>
    <row r="83" spans="1:9" x14ac:dyDescent="0.3">
      <c r="A83">
        <v>80</v>
      </c>
      <c r="B83" t="s">
        <v>94</v>
      </c>
      <c r="C83" s="5">
        <v>45213</v>
      </c>
      <c r="D83">
        <v>4</v>
      </c>
      <c r="E83">
        <v>6.5</v>
      </c>
      <c r="F83">
        <v>26</v>
      </c>
      <c r="G83" t="s">
        <v>349</v>
      </c>
      <c r="H83" t="s">
        <v>353</v>
      </c>
      <c r="I83" t="s">
        <v>364</v>
      </c>
    </row>
    <row r="84" spans="1:9" x14ac:dyDescent="0.3">
      <c r="A84">
        <v>81</v>
      </c>
      <c r="B84" t="s">
        <v>297</v>
      </c>
      <c r="C84" s="5">
        <v>45705</v>
      </c>
      <c r="D84">
        <v>10</v>
      </c>
      <c r="E84">
        <v>8</v>
      </c>
      <c r="F84">
        <v>80</v>
      </c>
      <c r="G84" t="s">
        <v>352</v>
      </c>
      <c r="H84" t="s">
        <v>412</v>
      </c>
      <c r="I84" t="s">
        <v>354</v>
      </c>
    </row>
    <row r="85" spans="1:9" x14ac:dyDescent="0.3">
      <c r="A85">
        <v>82</v>
      </c>
      <c r="B85" t="s">
        <v>216</v>
      </c>
      <c r="C85" s="5">
        <v>44449</v>
      </c>
      <c r="D85">
        <v>7</v>
      </c>
      <c r="E85">
        <v>10</v>
      </c>
      <c r="F85">
        <v>70</v>
      </c>
      <c r="G85" t="s">
        <v>352</v>
      </c>
      <c r="H85" t="s">
        <v>353</v>
      </c>
      <c r="I85" t="s">
        <v>360</v>
      </c>
    </row>
    <row r="86" spans="1:9" x14ac:dyDescent="0.3">
      <c r="A86">
        <v>83</v>
      </c>
      <c r="B86" t="s">
        <v>144</v>
      </c>
      <c r="C86" s="5">
        <v>44839</v>
      </c>
      <c r="D86">
        <v>2</v>
      </c>
      <c r="E86">
        <v>20</v>
      </c>
      <c r="F86">
        <v>40</v>
      </c>
      <c r="G86" t="s">
        <v>352</v>
      </c>
      <c r="H86" t="s">
        <v>353</v>
      </c>
      <c r="I86" t="s">
        <v>364</v>
      </c>
    </row>
    <row r="87" spans="1:9" x14ac:dyDescent="0.3">
      <c r="A87">
        <v>84</v>
      </c>
      <c r="B87" t="s">
        <v>70</v>
      </c>
      <c r="C87" s="5">
        <v>44626</v>
      </c>
      <c r="D87">
        <v>8</v>
      </c>
      <c r="E87">
        <v>11</v>
      </c>
      <c r="F87">
        <v>88</v>
      </c>
      <c r="G87" t="s">
        <v>349</v>
      </c>
      <c r="H87" t="s">
        <v>413</v>
      </c>
      <c r="I87" t="s">
        <v>364</v>
      </c>
    </row>
    <row r="88" spans="1:9" x14ac:dyDescent="0.3">
      <c r="A88">
        <v>85</v>
      </c>
      <c r="B88" t="s">
        <v>128</v>
      </c>
      <c r="C88" s="5">
        <v>45033</v>
      </c>
      <c r="D88">
        <v>3</v>
      </c>
      <c r="E88">
        <v>16</v>
      </c>
      <c r="F88">
        <v>48</v>
      </c>
      <c r="G88" t="s">
        <v>349</v>
      </c>
      <c r="H88" t="s">
        <v>414</v>
      </c>
      <c r="I88" t="s">
        <v>354</v>
      </c>
    </row>
    <row r="89" spans="1:9" x14ac:dyDescent="0.3">
      <c r="A89">
        <v>86</v>
      </c>
      <c r="B89" t="s">
        <v>51</v>
      </c>
      <c r="C89" s="5">
        <v>44666</v>
      </c>
      <c r="D89">
        <v>5</v>
      </c>
      <c r="E89">
        <v>18</v>
      </c>
      <c r="F89">
        <v>90</v>
      </c>
      <c r="G89" t="s">
        <v>352</v>
      </c>
      <c r="H89" t="s">
        <v>415</v>
      </c>
      <c r="I89" t="s">
        <v>354</v>
      </c>
    </row>
    <row r="90" spans="1:9" x14ac:dyDescent="0.3">
      <c r="A90">
        <v>87</v>
      </c>
      <c r="B90" t="s">
        <v>160</v>
      </c>
      <c r="C90" s="5">
        <v>45777</v>
      </c>
      <c r="D90">
        <v>4</v>
      </c>
      <c r="E90">
        <v>85</v>
      </c>
      <c r="F90">
        <v>340</v>
      </c>
      <c r="G90" t="s">
        <v>349</v>
      </c>
      <c r="H90" t="s">
        <v>353</v>
      </c>
      <c r="I90" t="s">
        <v>357</v>
      </c>
    </row>
    <row r="91" spans="1:9" x14ac:dyDescent="0.3">
      <c r="A91">
        <v>88</v>
      </c>
      <c r="B91" t="s">
        <v>39</v>
      </c>
      <c r="C91" s="5">
        <v>45677</v>
      </c>
      <c r="D91">
        <v>6</v>
      </c>
      <c r="E91">
        <v>4.5</v>
      </c>
      <c r="F91">
        <v>27</v>
      </c>
      <c r="G91" t="s">
        <v>352</v>
      </c>
      <c r="H91" t="s">
        <v>416</v>
      </c>
      <c r="I91" t="s">
        <v>374</v>
      </c>
    </row>
    <row r="92" spans="1:9" x14ac:dyDescent="0.3">
      <c r="A92">
        <v>89</v>
      </c>
      <c r="B92" t="s">
        <v>176</v>
      </c>
      <c r="C92" s="5">
        <v>44018</v>
      </c>
      <c r="D92">
        <v>4</v>
      </c>
      <c r="E92">
        <v>4</v>
      </c>
      <c r="F92">
        <v>16</v>
      </c>
      <c r="G92" t="s">
        <v>355</v>
      </c>
      <c r="H92" t="s">
        <v>417</v>
      </c>
      <c r="I92" t="s">
        <v>360</v>
      </c>
    </row>
    <row r="93" spans="1:9" x14ac:dyDescent="0.3">
      <c r="A93">
        <v>90</v>
      </c>
      <c r="B93" t="s">
        <v>171</v>
      </c>
      <c r="C93" s="5">
        <v>44329</v>
      </c>
      <c r="D93">
        <v>3</v>
      </c>
      <c r="E93">
        <v>9.5</v>
      </c>
      <c r="F93">
        <v>28.5</v>
      </c>
      <c r="G93" t="s">
        <v>355</v>
      </c>
      <c r="H93" t="s">
        <v>353</v>
      </c>
      <c r="I93" t="s">
        <v>364</v>
      </c>
    </row>
    <row r="94" spans="1:9" x14ac:dyDescent="0.3">
      <c r="A94">
        <v>91</v>
      </c>
      <c r="B94" t="s">
        <v>309</v>
      </c>
      <c r="C94" s="5">
        <v>45031</v>
      </c>
      <c r="D94">
        <v>4</v>
      </c>
      <c r="E94">
        <v>7</v>
      </c>
      <c r="F94">
        <v>28</v>
      </c>
      <c r="G94" t="s">
        <v>352</v>
      </c>
      <c r="H94" t="s">
        <v>418</v>
      </c>
      <c r="I94" t="s">
        <v>373</v>
      </c>
    </row>
    <row r="95" spans="1:9" x14ac:dyDescent="0.3">
      <c r="A95">
        <v>92</v>
      </c>
      <c r="B95" t="s">
        <v>82</v>
      </c>
      <c r="C95" s="5">
        <v>44398</v>
      </c>
      <c r="D95">
        <v>3</v>
      </c>
      <c r="E95">
        <v>12.5</v>
      </c>
      <c r="F95">
        <v>37.5</v>
      </c>
      <c r="G95" t="s">
        <v>352</v>
      </c>
      <c r="H95" t="s">
        <v>419</v>
      </c>
      <c r="I95" t="s">
        <v>377</v>
      </c>
    </row>
    <row r="96" spans="1:9" x14ac:dyDescent="0.3">
      <c r="A96">
        <v>93</v>
      </c>
      <c r="B96" t="s">
        <v>230</v>
      </c>
      <c r="C96" s="5">
        <v>45184</v>
      </c>
      <c r="D96">
        <v>1</v>
      </c>
      <c r="E96">
        <v>4.5</v>
      </c>
      <c r="F96">
        <v>4.5</v>
      </c>
      <c r="G96" t="s">
        <v>352</v>
      </c>
      <c r="H96" t="s">
        <v>353</v>
      </c>
      <c r="I96" t="s">
        <v>366</v>
      </c>
    </row>
    <row r="97" spans="1:9" x14ac:dyDescent="0.3">
      <c r="A97">
        <v>94</v>
      </c>
      <c r="B97" t="s">
        <v>251</v>
      </c>
      <c r="C97" s="5">
        <v>44494</v>
      </c>
      <c r="D97">
        <v>1</v>
      </c>
      <c r="E97">
        <v>22</v>
      </c>
      <c r="F97">
        <v>22</v>
      </c>
      <c r="G97" t="s">
        <v>352</v>
      </c>
      <c r="H97" t="s">
        <v>353</v>
      </c>
      <c r="I97" t="s">
        <v>377</v>
      </c>
    </row>
    <row r="98" spans="1:9" x14ac:dyDescent="0.3">
      <c r="A98">
        <v>95</v>
      </c>
      <c r="B98" t="s">
        <v>302</v>
      </c>
      <c r="C98" s="5">
        <v>44693</v>
      </c>
      <c r="D98">
        <v>9</v>
      </c>
      <c r="E98">
        <v>22</v>
      </c>
      <c r="F98">
        <v>198</v>
      </c>
      <c r="G98" t="s">
        <v>352</v>
      </c>
      <c r="H98" t="s">
        <v>420</v>
      </c>
      <c r="I98" t="s">
        <v>354</v>
      </c>
    </row>
    <row r="99" spans="1:9" x14ac:dyDescent="0.3">
      <c r="A99">
        <v>96</v>
      </c>
      <c r="B99" t="s">
        <v>199</v>
      </c>
      <c r="C99" s="5">
        <v>44572</v>
      </c>
      <c r="D99">
        <v>9</v>
      </c>
      <c r="E99">
        <v>3.5</v>
      </c>
      <c r="F99">
        <v>31.5</v>
      </c>
      <c r="G99" t="s">
        <v>355</v>
      </c>
      <c r="H99" t="s">
        <v>353</v>
      </c>
      <c r="I99" t="s">
        <v>364</v>
      </c>
    </row>
    <row r="100" spans="1:9" x14ac:dyDescent="0.3">
      <c r="A100">
        <v>97</v>
      </c>
      <c r="B100" t="s">
        <v>26</v>
      </c>
      <c r="C100" s="5">
        <v>45767</v>
      </c>
      <c r="D100">
        <v>10</v>
      </c>
      <c r="E100">
        <v>18</v>
      </c>
      <c r="F100">
        <v>180</v>
      </c>
      <c r="G100" t="s">
        <v>352</v>
      </c>
      <c r="H100" t="s">
        <v>421</v>
      </c>
      <c r="I100" t="s">
        <v>364</v>
      </c>
    </row>
    <row r="101" spans="1:9" x14ac:dyDescent="0.3">
      <c r="A101">
        <v>98</v>
      </c>
      <c r="B101" t="s">
        <v>144</v>
      </c>
      <c r="C101" s="5">
        <v>44769</v>
      </c>
      <c r="D101">
        <v>1</v>
      </c>
      <c r="E101">
        <v>20</v>
      </c>
      <c r="F101">
        <v>20</v>
      </c>
      <c r="G101" t="s">
        <v>352</v>
      </c>
      <c r="H101" t="s">
        <v>422</v>
      </c>
      <c r="I101" t="s">
        <v>361</v>
      </c>
    </row>
    <row r="102" spans="1:9" x14ac:dyDescent="0.3">
      <c r="A102">
        <v>99</v>
      </c>
      <c r="B102" t="s">
        <v>114</v>
      </c>
      <c r="C102" s="5">
        <v>45236</v>
      </c>
      <c r="D102">
        <v>2</v>
      </c>
      <c r="E102">
        <v>7</v>
      </c>
      <c r="F102">
        <v>14</v>
      </c>
      <c r="G102" t="s">
        <v>349</v>
      </c>
      <c r="H102" t="s">
        <v>423</v>
      </c>
      <c r="I102" t="s">
        <v>374</v>
      </c>
    </row>
    <row r="103" spans="1:9" x14ac:dyDescent="0.3">
      <c r="A103">
        <v>100</v>
      </c>
      <c r="B103" t="s">
        <v>124</v>
      </c>
      <c r="C103" s="5">
        <v>44490</v>
      </c>
      <c r="D103">
        <v>10</v>
      </c>
      <c r="E103">
        <v>22</v>
      </c>
      <c r="F103">
        <v>220</v>
      </c>
      <c r="G103" t="s">
        <v>352</v>
      </c>
      <c r="H103" t="s">
        <v>353</v>
      </c>
      <c r="I103" t="s">
        <v>351</v>
      </c>
    </row>
    <row r="104" spans="1:9" x14ac:dyDescent="0.3">
      <c r="A104">
        <v>101</v>
      </c>
      <c r="B104" t="s">
        <v>51</v>
      </c>
      <c r="C104" s="5">
        <v>45127</v>
      </c>
      <c r="D104">
        <v>10</v>
      </c>
      <c r="E104">
        <v>18</v>
      </c>
      <c r="F104">
        <v>180</v>
      </c>
      <c r="G104" t="s">
        <v>355</v>
      </c>
      <c r="H104" t="s">
        <v>424</v>
      </c>
      <c r="I104" t="s">
        <v>373</v>
      </c>
    </row>
    <row r="105" spans="1:9" x14ac:dyDescent="0.3">
      <c r="A105">
        <v>102</v>
      </c>
      <c r="B105" t="s">
        <v>276</v>
      </c>
      <c r="C105" s="5">
        <v>44434</v>
      </c>
      <c r="D105">
        <v>8</v>
      </c>
      <c r="E105">
        <v>8.5</v>
      </c>
      <c r="F105">
        <v>68</v>
      </c>
      <c r="G105" t="s">
        <v>355</v>
      </c>
      <c r="H105" t="s">
        <v>425</v>
      </c>
      <c r="I105" t="s">
        <v>374</v>
      </c>
    </row>
    <row r="106" spans="1:9" x14ac:dyDescent="0.3">
      <c r="A106">
        <v>103</v>
      </c>
      <c r="B106" t="s">
        <v>134</v>
      </c>
      <c r="C106" s="5">
        <v>45164</v>
      </c>
      <c r="D106">
        <v>9</v>
      </c>
      <c r="E106">
        <v>38</v>
      </c>
      <c r="F106">
        <v>342</v>
      </c>
      <c r="G106" t="s">
        <v>355</v>
      </c>
      <c r="H106" t="s">
        <v>426</v>
      </c>
      <c r="I106" t="s">
        <v>354</v>
      </c>
    </row>
    <row r="107" spans="1:9" x14ac:dyDescent="0.3">
      <c r="A107">
        <v>104</v>
      </c>
      <c r="B107" t="s">
        <v>26</v>
      </c>
      <c r="C107" s="5">
        <v>44678</v>
      </c>
      <c r="D107">
        <v>6</v>
      </c>
      <c r="E107">
        <v>18</v>
      </c>
      <c r="F107">
        <v>108</v>
      </c>
      <c r="G107" t="s">
        <v>349</v>
      </c>
      <c r="H107" t="s">
        <v>427</v>
      </c>
      <c r="I107" t="s">
        <v>374</v>
      </c>
    </row>
    <row r="108" spans="1:9" x14ac:dyDescent="0.3">
      <c r="A108">
        <v>105</v>
      </c>
      <c r="B108" t="s">
        <v>297</v>
      </c>
      <c r="C108" s="5">
        <v>44705</v>
      </c>
      <c r="D108">
        <v>6</v>
      </c>
      <c r="E108">
        <v>8</v>
      </c>
      <c r="F108">
        <v>48</v>
      </c>
      <c r="G108" t="s">
        <v>355</v>
      </c>
      <c r="H108" t="s">
        <v>353</v>
      </c>
      <c r="I108" t="s">
        <v>377</v>
      </c>
    </row>
    <row r="109" spans="1:9" x14ac:dyDescent="0.3">
      <c r="A109">
        <v>106</v>
      </c>
      <c r="B109" t="s">
        <v>224</v>
      </c>
      <c r="C109" s="5">
        <v>45721</v>
      </c>
      <c r="D109">
        <v>8</v>
      </c>
      <c r="E109">
        <v>9</v>
      </c>
      <c r="F109">
        <v>72</v>
      </c>
      <c r="G109" t="s">
        <v>352</v>
      </c>
      <c r="H109" t="s">
        <v>353</v>
      </c>
      <c r="I109" t="s">
        <v>374</v>
      </c>
    </row>
    <row r="110" spans="1:9" x14ac:dyDescent="0.3">
      <c r="A110">
        <v>107</v>
      </c>
      <c r="B110" t="s">
        <v>124</v>
      </c>
      <c r="C110" s="5">
        <v>44715</v>
      </c>
      <c r="D110">
        <v>2</v>
      </c>
      <c r="E110">
        <v>22</v>
      </c>
      <c r="F110">
        <v>44</v>
      </c>
      <c r="G110" t="s">
        <v>355</v>
      </c>
      <c r="H110" t="s">
        <v>428</v>
      </c>
      <c r="I110" t="s">
        <v>377</v>
      </c>
    </row>
    <row r="111" spans="1:9" x14ac:dyDescent="0.3">
      <c r="A111">
        <v>108</v>
      </c>
      <c r="B111" t="s">
        <v>243</v>
      </c>
      <c r="C111" s="5">
        <v>43953</v>
      </c>
      <c r="D111">
        <v>10</v>
      </c>
      <c r="E111">
        <v>6.5</v>
      </c>
      <c r="F111">
        <v>65</v>
      </c>
      <c r="G111" t="s">
        <v>355</v>
      </c>
      <c r="H111" t="s">
        <v>429</v>
      </c>
      <c r="I111" t="s">
        <v>374</v>
      </c>
    </row>
    <row r="112" spans="1:9" x14ac:dyDescent="0.3">
      <c r="A112">
        <v>109</v>
      </c>
      <c r="B112" t="s">
        <v>128</v>
      </c>
      <c r="C112" s="5">
        <v>44555</v>
      </c>
      <c r="D112">
        <v>7</v>
      </c>
      <c r="E112">
        <v>16</v>
      </c>
      <c r="F112">
        <v>112</v>
      </c>
      <c r="G112" t="s">
        <v>355</v>
      </c>
      <c r="H112" t="s">
        <v>353</v>
      </c>
      <c r="I112" t="s">
        <v>351</v>
      </c>
    </row>
    <row r="113" spans="1:9" x14ac:dyDescent="0.3">
      <c r="A113">
        <v>110</v>
      </c>
      <c r="B113" t="s">
        <v>45</v>
      </c>
      <c r="C113" s="5">
        <v>44470</v>
      </c>
      <c r="D113">
        <v>6</v>
      </c>
      <c r="E113">
        <v>28</v>
      </c>
      <c r="F113">
        <v>168</v>
      </c>
      <c r="G113" t="s">
        <v>352</v>
      </c>
      <c r="H113" t="s">
        <v>430</v>
      </c>
      <c r="I113" t="s">
        <v>377</v>
      </c>
    </row>
    <row r="114" spans="1:9" x14ac:dyDescent="0.3">
      <c r="A114">
        <v>111</v>
      </c>
      <c r="B114" t="s">
        <v>256</v>
      </c>
      <c r="C114" s="5">
        <v>44818</v>
      </c>
      <c r="D114">
        <v>4</v>
      </c>
      <c r="E114">
        <v>32</v>
      </c>
      <c r="F114">
        <v>128</v>
      </c>
      <c r="G114" t="s">
        <v>352</v>
      </c>
      <c r="H114" t="s">
        <v>431</v>
      </c>
      <c r="I114" t="s">
        <v>357</v>
      </c>
    </row>
    <row r="115" spans="1:9" x14ac:dyDescent="0.3">
      <c r="A115">
        <v>112</v>
      </c>
      <c r="B115" t="s">
        <v>230</v>
      </c>
      <c r="C115" s="5">
        <v>45392</v>
      </c>
      <c r="D115">
        <v>5</v>
      </c>
      <c r="E115">
        <v>4.5</v>
      </c>
      <c r="F115">
        <v>22.5</v>
      </c>
      <c r="G115" t="s">
        <v>355</v>
      </c>
      <c r="H115" t="s">
        <v>353</v>
      </c>
      <c r="I115" t="s">
        <v>361</v>
      </c>
    </row>
    <row r="116" spans="1:9" x14ac:dyDescent="0.3">
      <c r="A116">
        <v>113</v>
      </c>
      <c r="B116" t="s">
        <v>243</v>
      </c>
      <c r="C116" s="5">
        <v>45826</v>
      </c>
      <c r="D116">
        <v>10</v>
      </c>
      <c r="E116">
        <v>6.5</v>
      </c>
      <c r="F116">
        <v>65</v>
      </c>
      <c r="G116" t="s">
        <v>355</v>
      </c>
      <c r="H116" t="s">
        <v>432</v>
      </c>
      <c r="I116" t="s">
        <v>360</v>
      </c>
    </row>
    <row r="117" spans="1:9" x14ac:dyDescent="0.3">
      <c r="A117">
        <v>114</v>
      </c>
      <c r="B117" t="s">
        <v>45</v>
      </c>
      <c r="C117" s="5">
        <v>45733</v>
      </c>
      <c r="D117">
        <v>5</v>
      </c>
      <c r="E117">
        <v>28</v>
      </c>
      <c r="F117">
        <v>140</v>
      </c>
      <c r="G117" t="s">
        <v>352</v>
      </c>
      <c r="H117" t="s">
        <v>353</v>
      </c>
      <c r="I117" t="s">
        <v>351</v>
      </c>
    </row>
    <row r="118" spans="1:9" x14ac:dyDescent="0.3">
      <c r="A118">
        <v>115</v>
      </c>
      <c r="B118" t="s">
        <v>171</v>
      </c>
      <c r="C118" s="5">
        <v>44549</v>
      </c>
      <c r="D118">
        <v>1</v>
      </c>
      <c r="E118">
        <v>9.5</v>
      </c>
      <c r="F118">
        <v>9.5</v>
      </c>
      <c r="G118" t="s">
        <v>352</v>
      </c>
      <c r="H118" t="s">
        <v>433</v>
      </c>
      <c r="I118" t="s">
        <v>361</v>
      </c>
    </row>
    <row r="119" spans="1:9" x14ac:dyDescent="0.3">
      <c r="A119">
        <v>116</v>
      </c>
      <c r="B119" t="s">
        <v>90</v>
      </c>
      <c r="C119" s="5">
        <v>44121</v>
      </c>
      <c r="D119">
        <v>1</v>
      </c>
      <c r="E119">
        <v>9</v>
      </c>
      <c r="F119">
        <v>9</v>
      </c>
      <c r="G119" t="s">
        <v>352</v>
      </c>
      <c r="H119" t="s">
        <v>434</v>
      </c>
      <c r="I119" t="s">
        <v>361</v>
      </c>
    </row>
    <row r="120" spans="1:9" x14ac:dyDescent="0.3">
      <c r="A120">
        <v>117</v>
      </c>
      <c r="B120" t="s">
        <v>128</v>
      </c>
      <c r="C120" s="5">
        <v>44760</v>
      </c>
      <c r="D120">
        <v>6</v>
      </c>
      <c r="E120">
        <v>16</v>
      </c>
      <c r="F120">
        <v>96</v>
      </c>
      <c r="G120" t="s">
        <v>352</v>
      </c>
      <c r="H120" t="s">
        <v>435</v>
      </c>
      <c r="I120" t="s">
        <v>357</v>
      </c>
    </row>
    <row r="121" spans="1:9" x14ac:dyDescent="0.3">
      <c r="A121">
        <v>118</v>
      </c>
      <c r="B121" t="s">
        <v>199</v>
      </c>
      <c r="C121" s="5">
        <v>45759</v>
      </c>
      <c r="D121">
        <v>10</v>
      </c>
      <c r="E121">
        <v>3.5</v>
      </c>
      <c r="F121">
        <v>35</v>
      </c>
      <c r="G121" t="s">
        <v>355</v>
      </c>
      <c r="H121" t="s">
        <v>353</v>
      </c>
      <c r="I121" t="s">
        <v>360</v>
      </c>
    </row>
    <row r="122" spans="1:9" x14ac:dyDescent="0.3">
      <c r="A122">
        <v>119</v>
      </c>
      <c r="B122" t="s">
        <v>206</v>
      </c>
      <c r="C122" s="5">
        <v>44153</v>
      </c>
      <c r="D122">
        <v>10</v>
      </c>
      <c r="E122">
        <v>280</v>
      </c>
      <c r="F122">
        <v>2800</v>
      </c>
      <c r="G122" t="s">
        <v>352</v>
      </c>
      <c r="H122" t="s">
        <v>436</v>
      </c>
      <c r="I122" t="s">
        <v>354</v>
      </c>
    </row>
    <row r="123" spans="1:9" x14ac:dyDescent="0.3">
      <c r="A123">
        <v>120</v>
      </c>
      <c r="B123" t="s">
        <v>256</v>
      </c>
      <c r="C123" s="5">
        <v>44699</v>
      </c>
      <c r="D123">
        <v>8</v>
      </c>
      <c r="E123">
        <v>32</v>
      </c>
      <c r="F123">
        <v>256</v>
      </c>
      <c r="G123" t="s">
        <v>355</v>
      </c>
      <c r="H123" t="s">
        <v>437</v>
      </c>
      <c r="I123" t="s">
        <v>366</v>
      </c>
    </row>
    <row r="124" spans="1:9" x14ac:dyDescent="0.3">
      <c r="A124">
        <v>121</v>
      </c>
      <c r="B124" t="s">
        <v>120</v>
      </c>
      <c r="C124" s="5">
        <v>44880</v>
      </c>
      <c r="D124">
        <v>2</v>
      </c>
      <c r="E124">
        <v>35</v>
      </c>
      <c r="F124">
        <v>70</v>
      </c>
      <c r="G124" t="s">
        <v>349</v>
      </c>
      <c r="H124" t="s">
        <v>438</v>
      </c>
      <c r="I124" t="s">
        <v>373</v>
      </c>
    </row>
    <row r="125" spans="1:9" x14ac:dyDescent="0.3">
      <c r="A125">
        <v>122</v>
      </c>
      <c r="B125" t="s">
        <v>33</v>
      </c>
      <c r="C125" s="5">
        <v>44910</v>
      </c>
      <c r="D125">
        <v>5</v>
      </c>
      <c r="E125">
        <v>5.5</v>
      </c>
      <c r="F125">
        <v>27.5</v>
      </c>
      <c r="G125" t="s">
        <v>352</v>
      </c>
      <c r="H125" t="s">
        <v>353</v>
      </c>
      <c r="I125" t="s">
        <v>373</v>
      </c>
    </row>
    <row r="126" spans="1:9" x14ac:dyDescent="0.3">
      <c r="A126">
        <v>123</v>
      </c>
      <c r="B126" t="s">
        <v>17</v>
      </c>
      <c r="C126" s="5">
        <v>43846</v>
      </c>
      <c r="D126">
        <v>4</v>
      </c>
      <c r="E126">
        <v>15</v>
      </c>
      <c r="F126">
        <v>60</v>
      </c>
      <c r="G126" t="s">
        <v>349</v>
      </c>
      <c r="H126" t="s">
        <v>439</v>
      </c>
      <c r="I126" t="s">
        <v>377</v>
      </c>
    </row>
    <row r="127" spans="1:9" x14ac:dyDescent="0.3">
      <c r="A127">
        <v>124</v>
      </c>
      <c r="B127" t="s">
        <v>120</v>
      </c>
      <c r="C127" s="5">
        <v>44354</v>
      </c>
      <c r="D127">
        <v>5</v>
      </c>
      <c r="E127">
        <v>35</v>
      </c>
      <c r="F127">
        <v>175</v>
      </c>
      <c r="G127" t="s">
        <v>349</v>
      </c>
      <c r="H127" t="s">
        <v>353</v>
      </c>
      <c r="I127" t="s">
        <v>354</v>
      </c>
    </row>
    <row r="128" spans="1:9" x14ac:dyDescent="0.3">
      <c r="A128">
        <v>125</v>
      </c>
      <c r="B128" t="s">
        <v>302</v>
      </c>
      <c r="C128" s="5">
        <v>44712</v>
      </c>
      <c r="D128">
        <v>3</v>
      </c>
      <c r="E128">
        <v>22</v>
      </c>
      <c r="F128">
        <v>66</v>
      </c>
      <c r="G128" t="s">
        <v>352</v>
      </c>
      <c r="H128" t="s">
        <v>440</v>
      </c>
      <c r="I128" t="s">
        <v>366</v>
      </c>
    </row>
    <row r="129" spans="1:9" x14ac:dyDescent="0.3">
      <c r="A129">
        <v>126</v>
      </c>
      <c r="B129" t="s">
        <v>180</v>
      </c>
      <c r="C129" s="5">
        <v>44975</v>
      </c>
      <c r="D129">
        <v>6</v>
      </c>
      <c r="E129">
        <v>12</v>
      </c>
      <c r="F129">
        <v>72</v>
      </c>
      <c r="G129" t="s">
        <v>352</v>
      </c>
      <c r="H129" t="s">
        <v>441</v>
      </c>
      <c r="I129" t="s">
        <v>360</v>
      </c>
    </row>
    <row r="130" spans="1:9" x14ac:dyDescent="0.3">
      <c r="A130">
        <v>127</v>
      </c>
      <c r="B130" t="s">
        <v>114</v>
      </c>
      <c r="C130" s="5">
        <v>43869</v>
      </c>
      <c r="D130">
        <v>8</v>
      </c>
      <c r="E130">
        <v>7</v>
      </c>
      <c r="F130">
        <v>56</v>
      </c>
      <c r="G130" t="s">
        <v>352</v>
      </c>
      <c r="H130" t="s">
        <v>442</v>
      </c>
      <c r="I130" t="s">
        <v>361</v>
      </c>
    </row>
    <row r="131" spans="1:9" x14ac:dyDescent="0.3">
      <c r="A131">
        <v>128</v>
      </c>
      <c r="B131" t="s">
        <v>247</v>
      </c>
      <c r="C131" s="5">
        <v>44659</v>
      </c>
      <c r="D131">
        <v>7</v>
      </c>
      <c r="E131">
        <v>11</v>
      </c>
      <c r="F131">
        <v>77</v>
      </c>
      <c r="G131" t="s">
        <v>349</v>
      </c>
      <c r="H131" t="s">
        <v>353</v>
      </c>
      <c r="I131" t="s">
        <v>360</v>
      </c>
    </row>
    <row r="132" spans="1:9" x14ac:dyDescent="0.3">
      <c r="A132">
        <v>129</v>
      </c>
      <c r="B132" t="s">
        <v>297</v>
      </c>
      <c r="C132" s="5">
        <v>44182</v>
      </c>
      <c r="D132">
        <v>10</v>
      </c>
      <c r="E132">
        <v>8</v>
      </c>
      <c r="F132">
        <v>80</v>
      </c>
      <c r="G132" t="s">
        <v>349</v>
      </c>
      <c r="H132" t="s">
        <v>443</v>
      </c>
      <c r="I132" t="s">
        <v>374</v>
      </c>
    </row>
    <row r="133" spans="1:9" x14ac:dyDescent="0.3">
      <c r="A133">
        <v>130</v>
      </c>
      <c r="B133" t="s">
        <v>114</v>
      </c>
      <c r="C133" s="5">
        <v>45560</v>
      </c>
      <c r="D133">
        <v>2</v>
      </c>
      <c r="E133">
        <v>7</v>
      </c>
      <c r="F133">
        <v>14</v>
      </c>
      <c r="G133" t="s">
        <v>352</v>
      </c>
      <c r="H133" t="s">
        <v>444</v>
      </c>
      <c r="I133" t="s">
        <v>364</v>
      </c>
    </row>
    <row r="134" spans="1:9" x14ac:dyDescent="0.3">
      <c r="A134">
        <v>131</v>
      </c>
      <c r="B134" t="s">
        <v>124</v>
      </c>
      <c r="C134" s="5">
        <v>44641</v>
      </c>
      <c r="D134">
        <v>5</v>
      </c>
      <c r="E134">
        <v>22</v>
      </c>
      <c r="F134">
        <v>110</v>
      </c>
      <c r="G134" t="s">
        <v>355</v>
      </c>
      <c r="H134" t="s">
        <v>445</v>
      </c>
      <c r="I134" t="s">
        <v>377</v>
      </c>
    </row>
    <row r="135" spans="1:9" x14ac:dyDescent="0.3">
      <c r="A135">
        <v>132</v>
      </c>
      <c r="B135" t="s">
        <v>90</v>
      </c>
      <c r="C135" s="5">
        <v>44876</v>
      </c>
      <c r="D135">
        <v>2</v>
      </c>
      <c r="E135">
        <v>9</v>
      </c>
      <c r="F135">
        <v>18</v>
      </c>
      <c r="G135" t="s">
        <v>355</v>
      </c>
      <c r="H135" t="s">
        <v>446</v>
      </c>
      <c r="I135" t="s">
        <v>357</v>
      </c>
    </row>
    <row r="136" spans="1:9" x14ac:dyDescent="0.3">
      <c r="A136">
        <v>133</v>
      </c>
      <c r="B136" t="s">
        <v>105</v>
      </c>
      <c r="C136" s="5">
        <v>45320</v>
      </c>
      <c r="D136">
        <v>3</v>
      </c>
      <c r="E136">
        <v>7.5</v>
      </c>
      <c r="F136">
        <v>22.5</v>
      </c>
      <c r="G136" t="s">
        <v>352</v>
      </c>
      <c r="H136" t="s">
        <v>353</v>
      </c>
      <c r="I136" t="s">
        <v>351</v>
      </c>
    </row>
    <row r="137" spans="1:9" x14ac:dyDescent="0.3">
      <c r="A137">
        <v>134</v>
      </c>
      <c r="B137" t="s">
        <v>75</v>
      </c>
      <c r="C137" s="5">
        <v>44186</v>
      </c>
      <c r="D137">
        <v>10</v>
      </c>
      <c r="E137">
        <v>10.5</v>
      </c>
      <c r="F137">
        <v>105</v>
      </c>
      <c r="G137" t="s">
        <v>352</v>
      </c>
      <c r="H137" t="s">
        <v>447</v>
      </c>
      <c r="I137" t="s">
        <v>374</v>
      </c>
    </row>
    <row r="138" spans="1:9" x14ac:dyDescent="0.3">
      <c r="A138">
        <v>135</v>
      </c>
      <c r="B138" t="s">
        <v>292</v>
      </c>
      <c r="C138" s="5">
        <v>45779</v>
      </c>
      <c r="D138">
        <v>8</v>
      </c>
      <c r="E138">
        <v>13</v>
      </c>
      <c r="F138">
        <v>104</v>
      </c>
      <c r="G138" t="s">
        <v>349</v>
      </c>
      <c r="H138" t="s">
        <v>448</v>
      </c>
      <c r="I138" t="s">
        <v>373</v>
      </c>
    </row>
    <row r="139" spans="1:9" x14ac:dyDescent="0.3">
      <c r="A139">
        <v>136</v>
      </c>
      <c r="B139" t="s">
        <v>160</v>
      </c>
      <c r="C139" s="5">
        <v>45225</v>
      </c>
      <c r="D139">
        <v>10</v>
      </c>
      <c r="E139">
        <v>85</v>
      </c>
      <c r="F139">
        <v>850</v>
      </c>
      <c r="G139" t="s">
        <v>355</v>
      </c>
      <c r="H139" t="s">
        <v>449</v>
      </c>
      <c r="I139" t="s">
        <v>357</v>
      </c>
    </row>
    <row r="140" spans="1:9" x14ac:dyDescent="0.3">
      <c r="A140">
        <v>137</v>
      </c>
      <c r="B140" t="s">
        <v>56</v>
      </c>
      <c r="C140" s="5">
        <v>44478</v>
      </c>
      <c r="D140">
        <v>3</v>
      </c>
      <c r="E140">
        <v>55</v>
      </c>
      <c r="F140">
        <v>165</v>
      </c>
      <c r="G140" t="s">
        <v>349</v>
      </c>
      <c r="H140" t="s">
        <v>353</v>
      </c>
      <c r="I140" t="s">
        <v>354</v>
      </c>
    </row>
    <row r="141" spans="1:9" x14ac:dyDescent="0.3">
      <c r="A141">
        <v>138</v>
      </c>
      <c r="B141" t="s">
        <v>56</v>
      </c>
      <c r="C141" s="5">
        <v>44451</v>
      </c>
      <c r="D141">
        <v>5</v>
      </c>
      <c r="E141">
        <v>55</v>
      </c>
      <c r="F141">
        <v>275</v>
      </c>
      <c r="G141" t="s">
        <v>355</v>
      </c>
      <c r="H141" t="s">
        <v>353</v>
      </c>
      <c r="I141" t="s">
        <v>364</v>
      </c>
    </row>
    <row r="142" spans="1:9" x14ac:dyDescent="0.3">
      <c r="A142">
        <v>139</v>
      </c>
      <c r="B142" t="s">
        <v>90</v>
      </c>
      <c r="C142" s="5">
        <v>44466</v>
      </c>
      <c r="D142">
        <v>8</v>
      </c>
      <c r="E142">
        <v>9</v>
      </c>
      <c r="F142">
        <v>72</v>
      </c>
      <c r="G142" t="s">
        <v>349</v>
      </c>
      <c r="H142" t="s">
        <v>353</v>
      </c>
      <c r="I142" t="s">
        <v>357</v>
      </c>
    </row>
    <row r="143" spans="1:9" x14ac:dyDescent="0.3">
      <c r="A143">
        <v>140</v>
      </c>
      <c r="B143" t="s">
        <v>139</v>
      </c>
      <c r="C143" s="5">
        <v>43988</v>
      </c>
      <c r="D143">
        <v>2</v>
      </c>
      <c r="E143">
        <v>6</v>
      </c>
      <c r="F143">
        <v>12</v>
      </c>
      <c r="G143" t="s">
        <v>355</v>
      </c>
      <c r="H143" t="s">
        <v>450</v>
      </c>
      <c r="I143" t="s">
        <v>354</v>
      </c>
    </row>
    <row r="144" spans="1:9" x14ac:dyDescent="0.3">
      <c r="A144">
        <v>141</v>
      </c>
      <c r="B144" t="s">
        <v>251</v>
      </c>
      <c r="C144" s="5">
        <v>44966</v>
      </c>
      <c r="D144">
        <v>1</v>
      </c>
      <c r="E144">
        <v>22</v>
      </c>
      <c r="F144">
        <v>22</v>
      </c>
      <c r="G144" t="s">
        <v>349</v>
      </c>
      <c r="H144" t="s">
        <v>451</v>
      </c>
      <c r="I144" t="s">
        <v>366</v>
      </c>
    </row>
    <row r="145" spans="1:9" x14ac:dyDescent="0.3">
      <c r="A145">
        <v>142</v>
      </c>
      <c r="B145" t="s">
        <v>297</v>
      </c>
      <c r="C145" s="5">
        <v>45070</v>
      </c>
      <c r="D145">
        <v>8</v>
      </c>
      <c r="E145">
        <v>8</v>
      </c>
      <c r="F145">
        <v>64</v>
      </c>
      <c r="G145" t="s">
        <v>355</v>
      </c>
      <c r="H145" t="s">
        <v>353</v>
      </c>
      <c r="I145" t="s">
        <v>360</v>
      </c>
    </row>
    <row r="146" spans="1:9" x14ac:dyDescent="0.3">
      <c r="A146">
        <v>143</v>
      </c>
      <c r="B146" t="s">
        <v>160</v>
      </c>
      <c r="C146" s="5">
        <v>44042</v>
      </c>
      <c r="D146">
        <v>6</v>
      </c>
      <c r="E146">
        <v>85</v>
      </c>
      <c r="F146">
        <v>510</v>
      </c>
      <c r="G146" t="s">
        <v>355</v>
      </c>
      <c r="H146" t="s">
        <v>353</v>
      </c>
      <c r="I146" t="s">
        <v>377</v>
      </c>
    </row>
    <row r="147" spans="1:9" x14ac:dyDescent="0.3">
      <c r="A147">
        <v>144</v>
      </c>
      <c r="B147" t="s">
        <v>288</v>
      </c>
      <c r="C147" s="5">
        <v>44338</v>
      </c>
      <c r="D147">
        <v>8</v>
      </c>
      <c r="E147">
        <v>8.75</v>
      </c>
      <c r="F147">
        <v>70</v>
      </c>
      <c r="G147" t="s">
        <v>349</v>
      </c>
      <c r="H147" t="s">
        <v>452</v>
      </c>
      <c r="I147" t="s">
        <v>377</v>
      </c>
    </row>
    <row r="148" spans="1:9" x14ac:dyDescent="0.3">
      <c r="A148">
        <v>145</v>
      </c>
      <c r="B148" t="s">
        <v>149</v>
      </c>
      <c r="C148" s="5">
        <v>44594</v>
      </c>
      <c r="D148">
        <v>5</v>
      </c>
      <c r="E148">
        <v>11.5</v>
      </c>
      <c r="F148">
        <v>57.5</v>
      </c>
      <c r="G148" t="s">
        <v>349</v>
      </c>
      <c r="H148" t="s">
        <v>453</v>
      </c>
      <c r="I148" t="s">
        <v>373</v>
      </c>
    </row>
    <row r="149" spans="1:9" x14ac:dyDescent="0.3">
      <c r="A149">
        <v>146</v>
      </c>
      <c r="B149" t="s">
        <v>17</v>
      </c>
      <c r="C149" s="5">
        <v>45447</v>
      </c>
      <c r="D149">
        <v>6</v>
      </c>
      <c r="E149">
        <v>15</v>
      </c>
      <c r="F149">
        <v>90</v>
      </c>
      <c r="G149" t="s">
        <v>352</v>
      </c>
      <c r="H149" t="s">
        <v>454</v>
      </c>
      <c r="I149" t="s">
        <v>361</v>
      </c>
    </row>
    <row r="150" spans="1:9" x14ac:dyDescent="0.3">
      <c r="A150">
        <v>147</v>
      </c>
      <c r="B150" t="s">
        <v>139</v>
      </c>
      <c r="C150" s="5">
        <v>44347</v>
      </c>
      <c r="D150">
        <v>10</v>
      </c>
      <c r="E150">
        <v>6</v>
      </c>
      <c r="F150">
        <v>60</v>
      </c>
      <c r="G150" t="s">
        <v>352</v>
      </c>
      <c r="H150" t="s">
        <v>455</v>
      </c>
      <c r="I150" t="s">
        <v>377</v>
      </c>
    </row>
    <row r="151" spans="1:9" x14ac:dyDescent="0.3">
      <c r="A151">
        <v>148</v>
      </c>
      <c r="B151" t="s">
        <v>105</v>
      </c>
      <c r="C151" s="5">
        <v>44466</v>
      </c>
      <c r="D151">
        <v>7</v>
      </c>
      <c r="E151">
        <v>7.5</v>
      </c>
      <c r="F151">
        <v>52.5</v>
      </c>
      <c r="G151" t="s">
        <v>352</v>
      </c>
      <c r="H151" t="s">
        <v>456</v>
      </c>
      <c r="I151" t="s">
        <v>351</v>
      </c>
    </row>
    <row r="152" spans="1:9" x14ac:dyDescent="0.3">
      <c r="A152">
        <v>149</v>
      </c>
      <c r="B152" t="s">
        <v>243</v>
      </c>
      <c r="C152" s="5">
        <v>44602</v>
      </c>
      <c r="D152">
        <v>6</v>
      </c>
      <c r="E152">
        <v>6.5</v>
      </c>
      <c r="F152">
        <v>39</v>
      </c>
      <c r="G152" t="s">
        <v>352</v>
      </c>
      <c r="H152" t="s">
        <v>457</v>
      </c>
      <c r="I152" t="s">
        <v>364</v>
      </c>
    </row>
    <row r="153" spans="1:9" x14ac:dyDescent="0.3">
      <c r="A153">
        <v>150</v>
      </c>
      <c r="B153" t="s">
        <v>124</v>
      </c>
      <c r="C153" s="5">
        <v>45154</v>
      </c>
      <c r="D153">
        <v>7</v>
      </c>
      <c r="E153">
        <v>22</v>
      </c>
      <c r="F153">
        <v>154</v>
      </c>
      <c r="G153" t="s">
        <v>355</v>
      </c>
      <c r="H153" t="s">
        <v>458</v>
      </c>
      <c r="I153" t="s">
        <v>351</v>
      </c>
    </row>
    <row r="154" spans="1:9" x14ac:dyDescent="0.3">
      <c r="A154">
        <v>151</v>
      </c>
      <c r="B154" t="s">
        <v>292</v>
      </c>
      <c r="C154" s="5">
        <v>45778</v>
      </c>
      <c r="D154">
        <v>4</v>
      </c>
      <c r="E154">
        <v>13</v>
      </c>
      <c r="F154">
        <v>52</v>
      </c>
      <c r="G154" t="s">
        <v>349</v>
      </c>
      <c r="H154" t="s">
        <v>459</v>
      </c>
      <c r="I154" t="s">
        <v>366</v>
      </c>
    </row>
    <row r="155" spans="1:9" x14ac:dyDescent="0.3">
      <c r="A155">
        <v>152</v>
      </c>
      <c r="B155" t="s">
        <v>26</v>
      </c>
      <c r="C155" s="5">
        <v>44112</v>
      </c>
      <c r="D155">
        <v>3</v>
      </c>
      <c r="E155">
        <v>18</v>
      </c>
      <c r="F155">
        <v>54</v>
      </c>
      <c r="G155" t="s">
        <v>352</v>
      </c>
      <c r="H155" t="s">
        <v>353</v>
      </c>
      <c r="I155" t="s">
        <v>374</v>
      </c>
    </row>
    <row r="156" spans="1:9" x14ac:dyDescent="0.3">
      <c r="A156">
        <v>153</v>
      </c>
      <c r="B156" t="s">
        <v>180</v>
      </c>
      <c r="C156" s="5">
        <v>45409</v>
      </c>
      <c r="D156">
        <v>9</v>
      </c>
      <c r="E156">
        <v>12</v>
      </c>
      <c r="F156">
        <v>108</v>
      </c>
      <c r="G156" t="s">
        <v>355</v>
      </c>
      <c r="H156" t="s">
        <v>460</v>
      </c>
      <c r="I156" t="s">
        <v>357</v>
      </c>
    </row>
    <row r="157" spans="1:9" x14ac:dyDescent="0.3">
      <c r="A157">
        <v>154</v>
      </c>
      <c r="B157" t="s">
        <v>199</v>
      </c>
      <c r="C157" s="5">
        <v>45096</v>
      </c>
      <c r="D157">
        <v>3</v>
      </c>
      <c r="E157">
        <v>3.5</v>
      </c>
      <c r="F157">
        <v>10.5</v>
      </c>
      <c r="G157" t="s">
        <v>355</v>
      </c>
      <c r="H157" t="s">
        <v>461</v>
      </c>
      <c r="I157" t="s">
        <v>377</v>
      </c>
    </row>
    <row r="158" spans="1:9" x14ac:dyDescent="0.3">
      <c r="A158">
        <v>155</v>
      </c>
      <c r="B158" t="s">
        <v>216</v>
      </c>
      <c r="C158" s="5">
        <v>45410</v>
      </c>
      <c r="D158">
        <v>10</v>
      </c>
      <c r="E158">
        <v>10</v>
      </c>
      <c r="F158">
        <v>100</v>
      </c>
      <c r="G158" t="s">
        <v>352</v>
      </c>
      <c r="H158" t="s">
        <v>462</v>
      </c>
      <c r="I158" t="s">
        <v>361</v>
      </c>
    </row>
    <row r="159" spans="1:9" x14ac:dyDescent="0.3">
      <c r="A159">
        <v>156</v>
      </c>
      <c r="B159" t="s">
        <v>149</v>
      </c>
      <c r="C159" s="5">
        <v>45216</v>
      </c>
      <c r="D159">
        <v>4</v>
      </c>
      <c r="E159">
        <v>11.5</v>
      </c>
      <c r="F159">
        <v>46</v>
      </c>
      <c r="G159" t="s">
        <v>349</v>
      </c>
      <c r="H159" t="s">
        <v>463</v>
      </c>
      <c r="I159" t="s">
        <v>354</v>
      </c>
    </row>
    <row r="160" spans="1:9" x14ac:dyDescent="0.3">
      <c r="A160">
        <v>157</v>
      </c>
      <c r="B160" t="s">
        <v>26</v>
      </c>
      <c r="C160" s="5">
        <v>44924</v>
      </c>
      <c r="D160">
        <v>4</v>
      </c>
      <c r="E160">
        <v>18</v>
      </c>
      <c r="F160">
        <v>72</v>
      </c>
      <c r="G160" t="s">
        <v>349</v>
      </c>
      <c r="H160" t="s">
        <v>464</v>
      </c>
      <c r="I160" t="s">
        <v>354</v>
      </c>
    </row>
    <row r="161" spans="1:9" x14ac:dyDescent="0.3">
      <c r="A161">
        <v>158</v>
      </c>
      <c r="B161" t="s">
        <v>75</v>
      </c>
      <c r="C161" s="5">
        <v>44584</v>
      </c>
      <c r="D161">
        <v>10</v>
      </c>
      <c r="E161">
        <v>10.5</v>
      </c>
      <c r="F161">
        <v>105</v>
      </c>
      <c r="G161" t="s">
        <v>349</v>
      </c>
      <c r="H161" t="s">
        <v>465</v>
      </c>
      <c r="I161" t="s">
        <v>361</v>
      </c>
    </row>
    <row r="162" spans="1:9" x14ac:dyDescent="0.3">
      <c r="A162">
        <v>159</v>
      </c>
      <c r="B162" t="s">
        <v>180</v>
      </c>
      <c r="C162" s="5">
        <v>44911</v>
      </c>
      <c r="D162">
        <v>7</v>
      </c>
      <c r="E162">
        <v>12</v>
      </c>
      <c r="F162">
        <v>84</v>
      </c>
      <c r="G162" t="s">
        <v>352</v>
      </c>
      <c r="H162" t="s">
        <v>466</v>
      </c>
      <c r="I162" t="s">
        <v>373</v>
      </c>
    </row>
    <row r="163" spans="1:9" x14ac:dyDescent="0.3">
      <c r="A163">
        <v>160</v>
      </c>
      <c r="B163" t="s">
        <v>70</v>
      </c>
      <c r="C163" s="5">
        <v>45618</v>
      </c>
      <c r="D163">
        <v>5</v>
      </c>
      <c r="E163">
        <v>11</v>
      </c>
      <c r="F163">
        <v>55</v>
      </c>
      <c r="G163" t="s">
        <v>352</v>
      </c>
      <c r="H163" t="s">
        <v>467</v>
      </c>
      <c r="I163" t="s">
        <v>364</v>
      </c>
    </row>
    <row r="164" spans="1:9" x14ac:dyDescent="0.3">
      <c r="A164">
        <v>161</v>
      </c>
      <c r="B164" t="s">
        <v>94</v>
      </c>
      <c r="C164" s="5">
        <v>45287</v>
      </c>
      <c r="D164">
        <v>9</v>
      </c>
      <c r="E164">
        <v>6.5</v>
      </c>
      <c r="F164">
        <v>58.5</v>
      </c>
      <c r="G164" t="s">
        <v>352</v>
      </c>
      <c r="H164" t="s">
        <v>353</v>
      </c>
      <c r="I164" t="s">
        <v>377</v>
      </c>
    </row>
    <row r="165" spans="1:9" x14ac:dyDescent="0.3">
      <c r="A165">
        <v>162</v>
      </c>
      <c r="B165" t="s">
        <v>154</v>
      </c>
      <c r="C165" s="5">
        <v>44751</v>
      </c>
      <c r="D165">
        <v>9</v>
      </c>
      <c r="E165">
        <v>35</v>
      </c>
      <c r="F165">
        <v>315</v>
      </c>
      <c r="G165" t="s">
        <v>352</v>
      </c>
      <c r="H165" t="s">
        <v>468</v>
      </c>
      <c r="I165" t="s">
        <v>366</v>
      </c>
    </row>
    <row r="166" spans="1:9" x14ac:dyDescent="0.3">
      <c r="A166">
        <v>163</v>
      </c>
      <c r="B166" t="s">
        <v>160</v>
      </c>
      <c r="C166" s="5">
        <v>45642</v>
      </c>
      <c r="D166">
        <v>6</v>
      </c>
      <c r="E166">
        <v>85</v>
      </c>
      <c r="F166">
        <v>510</v>
      </c>
      <c r="G166" t="s">
        <v>352</v>
      </c>
      <c r="H166" t="s">
        <v>469</v>
      </c>
      <c r="I166" t="s">
        <v>364</v>
      </c>
    </row>
    <row r="167" spans="1:9" x14ac:dyDescent="0.3">
      <c r="A167">
        <v>164</v>
      </c>
      <c r="B167" t="s">
        <v>149</v>
      </c>
      <c r="C167" s="5">
        <v>44313</v>
      </c>
      <c r="D167">
        <v>7</v>
      </c>
      <c r="E167">
        <v>11.5</v>
      </c>
      <c r="F167">
        <v>80.5</v>
      </c>
      <c r="G167" t="s">
        <v>352</v>
      </c>
      <c r="H167" t="s">
        <v>470</v>
      </c>
      <c r="I167" t="s">
        <v>357</v>
      </c>
    </row>
    <row r="168" spans="1:9" x14ac:dyDescent="0.3">
      <c r="A168">
        <v>165</v>
      </c>
      <c r="B168" t="s">
        <v>94</v>
      </c>
      <c r="C168" s="5">
        <v>45549</v>
      </c>
      <c r="D168">
        <v>6</v>
      </c>
      <c r="E168">
        <v>6.5</v>
      </c>
      <c r="F168">
        <v>39</v>
      </c>
      <c r="G168" t="s">
        <v>352</v>
      </c>
      <c r="H168" t="s">
        <v>353</v>
      </c>
      <c r="I168" t="s">
        <v>351</v>
      </c>
    </row>
    <row r="169" spans="1:9" x14ac:dyDescent="0.3">
      <c r="A169">
        <v>166</v>
      </c>
      <c r="B169" t="s">
        <v>211</v>
      </c>
      <c r="C169" s="5">
        <v>45256</v>
      </c>
      <c r="D169">
        <v>3</v>
      </c>
      <c r="E169">
        <v>19</v>
      </c>
      <c r="F169">
        <v>57</v>
      </c>
      <c r="G169" t="s">
        <v>355</v>
      </c>
      <c r="H169" t="s">
        <v>471</v>
      </c>
      <c r="I169" t="s">
        <v>360</v>
      </c>
    </row>
    <row r="170" spans="1:9" x14ac:dyDescent="0.3">
      <c r="A170">
        <v>167</v>
      </c>
      <c r="B170" t="s">
        <v>124</v>
      </c>
      <c r="C170" s="5">
        <v>43869</v>
      </c>
      <c r="D170">
        <v>5</v>
      </c>
      <c r="E170">
        <v>22</v>
      </c>
      <c r="F170">
        <v>110</v>
      </c>
      <c r="G170" t="s">
        <v>352</v>
      </c>
      <c r="H170" t="s">
        <v>472</v>
      </c>
      <c r="I170" t="s">
        <v>373</v>
      </c>
    </row>
    <row r="171" spans="1:9" x14ac:dyDescent="0.3">
      <c r="A171">
        <v>168</v>
      </c>
      <c r="B171" t="s">
        <v>276</v>
      </c>
      <c r="C171" s="5">
        <v>44697</v>
      </c>
      <c r="D171">
        <v>2</v>
      </c>
      <c r="E171">
        <v>8.5</v>
      </c>
      <c r="F171">
        <v>17</v>
      </c>
      <c r="G171" t="s">
        <v>349</v>
      </c>
      <c r="H171" t="s">
        <v>353</v>
      </c>
      <c r="I171" t="s">
        <v>374</v>
      </c>
    </row>
    <row r="172" spans="1:9" x14ac:dyDescent="0.3">
      <c r="A172">
        <v>169</v>
      </c>
      <c r="B172" t="s">
        <v>17</v>
      </c>
      <c r="C172" s="5">
        <v>44319</v>
      </c>
      <c r="D172">
        <v>7</v>
      </c>
      <c r="E172">
        <v>15</v>
      </c>
      <c r="F172">
        <v>105</v>
      </c>
      <c r="G172" t="s">
        <v>355</v>
      </c>
      <c r="H172" t="s">
        <v>473</v>
      </c>
      <c r="I172" t="s">
        <v>374</v>
      </c>
    </row>
    <row r="173" spans="1:9" x14ac:dyDescent="0.3">
      <c r="A173">
        <v>170</v>
      </c>
      <c r="B173" t="s">
        <v>230</v>
      </c>
      <c r="C173" s="5">
        <v>45544</v>
      </c>
      <c r="D173">
        <v>8</v>
      </c>
      <c r="E173">
        <v>4.5</v>
      </c>
      <c r="F173">
        <v>36</v>
      </c>
      <c r="G173" t="s">
        <v>355</v>
      </c>
      <c r="H173" t="s">
        <v>474</v>
      </c>
      <c r="I173" t="s">
        <v>364</v>
      </c>
    </row>
    <row r="174" spans="1:9" x14ac:dyDescent="0.3">
      <c r="A174">
        <v>171</v>
      </c>
      <c r="B174" t="s">
        <v>247</v>
      </c>
      <c r="C174" s="5">
        <v>44326</v>
      </c>
      <c r="D174">
        <v>3</v>
      </c>
      <c r="E174">
        <v>11</v>
      </c>
      <c r="F174">
        <v>33</v>
      </c>
      <c r="G174" t="s">
        <v>349</v>
      </c>
      <c r="H174" t="s">
        <v>475</v>
      </c>
      <c r="I174" t="s">
        <v>357</v>
      </c>
    </row>
    <row r="175" spans="1:9" x14ac:dyDescent="0.3">
      <c r="A175">
        <v>172</v>
      </c>
      <c r="B175" t="s">
        <v>235</v>
      </c>
      <c r="C175" s="5">
        <v>44999</v>
      </c>
      <c r="D175">
        <v>7</v>
      </c>
      <c r="E175">
        <v>14</v>
      </c>
      <c r="F175">
        <v>98</v>
      </c>
      <c r="G175" t="s">
        <v>352</v>
      </c>
      <c r="H175" t="s">
        <v>476</v>
      </c>
      <c r="I175" t="s">
        <v>364</v>
      </c>
    </row>
    <row r="176" spans="1:9" x14ac:dyDescent="0.3">
      <c r="A176">
        <v>173</v>
      </c>
      <c r="B176" t="s">
        <v>149</v>
      </c>
      <c r="C176" s="5">
        <v>43969</v>
      </c>
      <c r="D176">
        <v>9</v>
      </c>
      <c r="E176">
        <v>11.5</v>
      </c>
      <c r="F176">
        <v>103.5</v>
      </c>
      <c r="G176" t="s">
        <v>355</v>
      </c>
      <c r="H176" t="s">
        <v>477</v>
      </c>
      <c r="I176" t="s">
        <v>364</v>
      </c>
    </row>
    <row r="177" spans="1:9" x14ac:dyDescent="0.3">
      <c r="A177">
        <v>174</v>
      </c>
      <c r="B177" t="s">
        <v>62</v>
      </c>
      <c r="C177" s="5">
        <v>44630</v>
      </c>
      <c r="D177">
        <v>8</v>
      </c>
      <c r="E177">
        <v>5</v>
      </c>
      <c r="F177">
        <v>40</v>
      </c>
      <c r="G177" t="s">
        <v>352</v>
      </c>
      <c r="H177" t="s">
        <v>478</v>
      </c>
      <c r="I177" t="s">
        <v>351</v>
      </c>
    </row>
    <row r="178" spans="1:9" x14ac:dyDescent="0.3">
      <c r="A178">
        <v>175</v>
      </c>
      <c r="B178" t="s">
        <v>302</v>
      </c>
      <c r="C178" s="5">
        <v>43864</v>
      </c>
      <c r="D178">
        <v>6</v>
      </c>
      <c r="E178">
        <v>22</v>
      </c>
      <c r="F178">
        <v>132</v>
      </c>
      <c r="G178" t="s">
        <v>352</v>
      </c>
      <c r="H178" t="s">
        <v>479</v>
      </c>
      <c r="I178" t="s">
        <v>374</v>
      </c>
    </row>
    <row r="179" spans="1:9" x14ac:dyDescent="0.3">
      <c r="A179">
        <v>176</v>
      </c>
      <c r="B179" t="s">
        <v>199</v>
      </c>
      <c r="C179" s="5">
        <v>45022</v>
      </c>
      <c r="D179">
        <v>6</v>
      </c>
      <c r="E179">
        <v>3.5</v>
      </c>
      <c r="F179">
        <v>21</v>
      </c>
      <c r="G179" t="s">
        <v>352</v>
      </c>
      <c r="H179" t="s">
        <v>353</v>
      </c>
      <c r="I179" t="s">
        <v>364</v>
      </c>
    </row>
    <row r="180" spans="1:9" x14ac:dyDescent="0.3">
      <c r="A180">
        <v>177</v>
      </c>
      <c r="B180" t="s">
        <v>171</v>
      </c>
      <c r="C180" s="5">
        <v>45497</v>
      </c>
      <c r="D180">
        <v>3</v>
      </c>
      <c r="E180">
        <v>9.5</v>
      </c>
      <c r="F180">
        <v>28.5</v>
      </c>
      <c r="G180" t="s">
        <v>355</v>
      </c>
      <c r="H180" t="s">
        <v>480</v>
      </c>
      <c r="I180" t="s">
        <v>354</v>
      </c>
    </row>
    <row r="181" spans="1:9" x14ac:dyDescent="0.3">
      <c r="A181">
        <v>178</v>
      </c>
      <c r="B181" t="s">
        <v>56</v>
      </c>
      <c r="C181" s="5">
        <v>44204</v>
      </c>
      <c r="D181">
        <v>3</v>
      </c>
      <c r="E181">
        <v>55</v>
      </c>
      <c r="F181">
        <v>165</v>
      </c>
      <c r="G181" t="s">
        <v>352</v>
      </c>
      <c r="H181" t="s">
        <v>481</v>
      </c>
      <c r="I181" t="s">
        <v>360</v>
      </c>
    </row>
    <row r="182" spans="1:9" x14ac:dyDescent="0.3">
      <c r="A182">
        <v>179</v>
      </c>
      <c r="B182" t="s">
        <v>139</v>
      </c>
      <c r="C182" s="5">
        <v>44243</v>
      </c>
      <c r="D182">
        <v>1</v>
      </c>
      <c r="E182">
        <v>6</v>
      </c>
      <c r="F182">
        <v>6</v>
      </c>
      <c r="G182" t="s">
        <v>352</v>
      </c>
      <c r="H182" t="s">
        <v>482</v>
      </c>
      <c r="I182" t="s">
        <v>351</v>
      </c>
    </row>
    <row r="183" spans="1:9" x14ac:dyDescent="0.3">
      <c r="A183">
        <v>180</v>
      </c>
      <c r="B183" t="s">
        <v>180</v>
      </c>
      <c r="C183" s="5">
        <v>44646</v>
      </c>
      <c r="D183">
        <v>9</v>
      </c>
      <c r="E183">
        <v>12</v>
      </c>
      <c r="F183">
        <v>108</v>
      </c>
      <c r="G183" t="s">
        <v>349</v>
      </c>
      <c r="H183" t="s">
        <v>353</v>
      </c>
      <c r="I183" t="s">
        <v>366</v>
      </c>
    </row>
    <row r="184" spans="1:9" x14ac:dyDescent="0.3">
      <c r="A184">
        <v>181</v>
      </c>
      <c r="B184" t="s">
        <v>139</v>
      </c>
      <c r="C184" s="5">
        <v>44562</v>
      </c>
      <c r="D184">
        <v>1</v>
      </c>
      <c r="E184">
        <v>6</v>
      </c>
      <c r="F184">
        <v>6</v>
      </c>
      <c r="G184" t="s">
        <v>355</v>
      </c>
      <c r="H184" t="s">
        <v>483</v>
      </c>
      <c r="I184" t="s">
        <v>357</v>
      </c>
    </row>
    <row r="185" spans="1:9" x14ac:dyDescent="0.3">
      <c r="A185">
        <v>182</v>
      </c>
      <c r="B185" t="s">
        <v>114</v>
      </c>
      <c r="C185" s="5">
        <v>45652</v>
      </c>
      <c r="D185">
        <v>7</v>
      </c>
      <c r="E185">
        <v>7</v>
      </c>
      <c r="F185">
        <v>49</v>
      </c>
      <c r="G185" t="s">
        <v>355</v>
      </c>
      <c r="H185" t="s">
        <v>484</v>
      </c>
      <c r="I185" t="s">
        <v>357</v>
      </c>
    </row>
    <row r="186" spans="1:9" x14ac:dyDescent="0.3">
      <c r="A186">
        <v>183</v>
      </c>
      <c r="B186" t="s">
        <v>292</v>
      </c>
      <c r="C186" s="5">
        <v>44847</v>
      </c>
      <c r="D186">
        <v>8</v>
      </c>
      <c r="E186">
        <v>13</v>
      </c>
      <c r="F186">
        <v>104</v>
      </c>
      <c r="G186" t="s">
        <v>349</v>
      </c>
      <c r="H186" t="s">
        <v>485</v>
      </c>
      <c r="I186" t="s">
        <v>351</v>
      </c>
    </row>
    <row r="187" spans="1:9" x14ac:dyDescent="0.3">
      <c r="A187">
        <v>184</v>
      </c>
      <c r="B187" t="s">
        <v>124</v>
      </c>
      <c r="C187" s="5">
        <v>45320</v>
      </c>
      <c r="D187">
        <v>7</v>
      </c>
      <c r="E187">
        <v>22</v>
      </c>
      <c r="F187">
        <v>154</v>
      </c>
      <c r="G187" t="s">
        <v>352</v>
      </c>
      <c r="H187" t="s">
        <v>486</v>
      </c>
      <c r="I187" t="s">
        <v>377</v>
      </c>
    </row>
    <row r="188" spans="1:9" x14ac:dyDescent="0.3">
      <c r="A188">
        <v>185</v>
      </c>
      <c r="B188" t="s">
        <v>39</v>
      </c>
      <c r="C188" s="5">
        <v>44432</v>
      </c>
      <c r="D188">
        <v>6</v>
      </c>
      <c r="E188">
        <v>4.5</v>
      </c>
      <c r="F188">
        <v>27</v>
      </c>
      <c r="G188" t="s">
        <v>352</v>
      </c>
      <c r="H188" t="s">
        <v>353</v>
      </c>
      <c r="I188" t="s">
        <v>351</v>
      </c>
    </row>
    <row r="189" spans="1:9" x14ac:dyDescent="0.3">
      <c r="A189">
        <v>186</v>
      </c>
      <c r="B189" t="s">
        <v>144</v>
      </c>
      <c r="C189" s="5">
        <v>44744</v>
      </c>
      <c r="D189">
        <v>10</v>
      </c>
      <c r="E189">
        <v>20</v>
      </c>
      <c r="F189">
        <v>200</v>
      </c>
      <c r="G189" t="s">
        <v>355</v>
      </c>
      <c r="H189" t="s">
        <v>487</v>
      </c>
      <c r="I189" t="s">
        <v>354</v>
      </c>
    </row>
    <row r="190" spans="1:9" x14ac:dyDescent="0.3">
      <c r="A190">
        <v>187</v>
      </c>
      <c r="B190" t="s">
        <v>105</v>
      </c>
      <c r="C190" s="5">
        <v>44746</v>
      </c>
      <c r="D190">
        <v>1</v>
      </c>
      <c r="E190">
        <v>7.5</v>
      </c>
      <c r="F190">
        <v>7.5</v>
      </c>
      <c r="G190" t="s">
        <v>355</v>
      </c>
      <c r="H190" t="s">
        <v>488</v>
      </c>
      <c r="I190" t="s">
        <v>373</v>
      </c>
    </row>
    <row r="191" spans="1:9" x14ac:dyDescent="0.3">
      <c r="A191">
        <v>188</v>
      </c>
      <c r="B191" t="s">
        <v>114</v>
      </c>
      <c r="C191" s="5">
        <v>44393</v>
      </c>
      <c r="D191">
        <v>1</v>
      </c>
      <c r="E191">
        <v>7</v>
      </c>
      <c r="F191">
        <v>7</v>
      </c>
      <c r="G191" t="s">
        <v>352</v>
      </c>
      <c r="H191" t="s">
        <v>489</v>
      </c>
      <c r="I191" t="s">
        <v>357</v>
      </c>
    </row>
    <row r="192" spans="1:9" x14ac:dyDescent="0.3">
      <c r="A192">
        <v>189</v>
      </c>
      <c r="B192" t="s">
        <v>180</v>
      </c>
      <c r="C192" s="5">
        <v>45471</v>
      </c>
      <c r="D192">
        <v>3</v>
      </c>
      <c r="E192">
        <v>12</v>
      </c>
      <c r="F192">
        <v>36</v>
      </c>
      <c r="G192" t="s">
        <v>352</v>
      </c>
      <c r="H192" t="s">
        <v>353</v>
      </c>
      <c r="I192" t="s">
        <v>373</v>
      </c>
    </row>
    <row r="193" spans="1:9" x14ac:dyDescent="0.3">
      <c r="A193">
        <v>190</v>
      </c>
      <c r="B193" t="s">
        <v>224</v>
      </c>
      <c r="C193" s="5">
        <v>45431</v>
      </c>
      <c r="D193">
        <v>8</v>
      </c>
      <c r="E193">
        <v>9</v>
      </c>
      <c r="F193">
        <v>72</v>
      </c>
      <c r="G193" t="s">
        <v>352</v>
      </c>
      <c r="H193" t="s">
        <v>353</v>
      </c>
      <c r="I193" t="s">
        <v>366</v>
      </c>
    </row>
    <row r="194" spans="1:9" x14ac:dyDescent="0.3">
      <c r="A194">
        <v>191</v>
      </c>
      <c r="B194" t="s">
        <v>199</v>
      </c>
      <c r="C194" s="5">
        <v>45152</v>
      </c>
      <c r="D194">
        <v>6</v>
      </c>
      <c r="E194">
        <v>3.5</v>
      </c>
      <c r="F194">
        <v>21</v>
      </c>
      <c r="G194" t="s">
        <v>349</v>
      </c>
      <c r="H194" t="s">
        <v>490</v>
      </c>
      <c r="I194" t="s">
        <v>360</v>
      </c>
    </row>
    <row r="195" spans="1:9" x14ac:dyDescent="0.3">
      <c r="A195">
        <v>192</v>
      </c>
      <c r="B195" t="s">
        <v>45</v>
      </c>
      <c r="C195" s="5">
        <v>44145</v>
      </c>
      <c r="D195">
        <v>8</v>
      </c>
      <c r="E195">
        <v>28</v>
      </c>
      <c r="F195">
        <v>224</v>
      </c>
      <c r="G195" t="s">
        <v>349</v>
      </c>
      <c r="H195" t="s">
        <v>491</v>
      </c>
      <c r="I195" t="s">
        <v>374</v>
      </c>
    </row>
    <row r="196" spans="1:9" x14ac:dyDescent="0.3">
      <c r="A196">
        <v>193</v>
      </c>
      <c r="B196" t="s">
        <v>247</v>
      </c>
      <c r="C196" s="5">
        <v>44112</v>
      </c>
      <c r="D196">
        <v>9</v>
      </c>
      <c r="E196">
        <v>11</v>
      </c>
      <c r="F196">
        <v>99</v>
      </c>
      <c r="G196" t="s">
        <v>349</v>
      </c>
      <c r="H196" t="s">
        <v>492</v>
      </c>
      <c r="I196" t="s">
        <v>351</v>
      </c>
    </row>
    <row r="197" spans="1:9" x14ac:dyDescent="0.3">
      <c r="A197">
        <v>194</v>
      </c>
      <c r="B197" t="s">
        <v>235</v>
      </c>
      <c r="C197" s="5">
        <v>45798</v>
      </c>
      <c r="D197">
        <v>2</v>
      </c>
      <c r="E197">
        <v>14</v>
      </c>
      <c r="F197">
        <v>28</v>
      </c>
      <c r="G197" t="s">
        <v>352</v>
      </c>
      <c r="H197" t="s">
        <v>493</v>
      </c>
      <c r="I197" t="s">
        <v>364</v>
      </c>
    </row>
    <row r="198" spans="1:9" x14ac:dyDescent="0.3">
      <c r="A198">
        <v>195</v>
      </c>
      <c r="B198" t="s">
        <v>195</v>
      </c>
      <c r="C198" s="5">
        <v>45701</v>
      </c>
      <c r="D198">
        <v>9</v>
      </c>
      <c r="E198">
        <v>3.5</v>
      </c>
      <c r="F198">
        <v>31.5</v>
      </c>
      <c r="G198" t="s">
        <v>352</v>
      </c>
      <c r="H198" t="s">
        <v>353</v>
      </c>
      <c r="I198" t="s">
        <v>351</v>
      </c>
    </row>
    <row r="199" spans="1:9" x14ac:dyDescent="0.3">
      <c r="A199">
        <v>196</v>
      </c>
      <c r="B199" t="s">
        <v>266</v>
      </c>
      <c r="C199" s="5">
        <v>44744</v>
      </c>
      <c r="D199">
        <v>4</v>
      </c>
      <c r="E199">
        <v>95</v>
      </c>
      <c r="F199">
        <v>380</v>
      </c>
      <c r="G199" t="s">
        <v>355</v>
      </c>
      <c r="H199" t="s">
        <v>353</v>
      </c>
      <c r="I199" t="s">
        <v>354</v>
      </c>
    </row>
    <row r="200" spans="1:9" x14ac:dyDescent="0.3">
      <c r="A200">
        <v>197</v>
      </c>
      <c r="B200" t="s">
        <v>75</v>
      </c>
      <c r="C200" s="5">
        <v>44082</v>
      </c>
      <c r="D200">
        <v>3</v>
      </c>
      <c r="E200">
        <v>10.5</v>
      </c>
      <c r="F200">
        <v>31.5</v>
      </c>
      <c r="G200" t="s">
        <v>352</v>
      </c>
      <c r="H200" t="s">
        <v>494</v>
      </c>
      <c r="I200" t="s">
        <v>354</v>
      </c>
    </row>
    <row r="201" spans="1:9" x14ac:dyDescent="0.3">
      <c r="A201">
        <v>198</v>
      </c>
      <c r="B201" t="s">
        <v>124</v>
      </c>
      <c r="C201" s="5">
        <v>45490</v>
      </c>
      <c r="D201">
        <v>6</v>
      </c>
      <c r="E201">
        <v>22</v>
      </c>
      <c r="F201">
        <v>132</v>
      </c>
      <c r="G201" t="s">
        <v>355</v>
      </c>
      <c r="H201" t="s">
        <v>495</v>
      </c>
      <c r="I201" t="s">
        <v>364</v>
      </c>
    </row>
    <row r="202" spans="1:9" x14ac:dyDescent="0.3">
      <c r="A202">
        <v>199</v>
      </c>
      <c r="B202" t="s">
        <v>39</v>
      </c>
      <c r="C202" s="5">
        <v>44425</v>
      </c>
      <c r="D202">
        <v>5</v>
      </c>
      <c r="E202">
        <v>4.5</v>
      </c>
      <c r="F202">
        <v>22.5</v>
      </c>
      <c r="G202" t="s">
        <v>352</v>
      </c>
      <c r="H202" t="s">
        <v>496</v>
      </c>
      <c r="I202" t="s">
        <v>377</v>
      </c>
    </row>
    <row r="203" spans="1:9" x14ac:dyDescent="0.3">
      <c r="A203">
        <v>200</v>
      </c>
      <c r="B203" t="s">
        <v>149</v>
      </c>
      <c r="C203" s="5">
        <v>44872</v>
      </c>
      <c r="D203">
        <v>4</v>
      </c>
      <c r="E203">
        <v>11.5</v>
      </c>
      <c r="F203">
        <v>46</v>
      </c>
      <c r="G203" t="s">
        <v>352</v>
      </c>
      <c r="H203" t="s">
        <v>497</v>
      </c>
      <c r="I203" t="s">
        <v>377</v>
      </c>
    </row>
    <row r="204" spans="1:9" x14ac:dyDescent="0.3">
      <c r="A204">
        <v>201</v>
      </c>
      <c r="B204" t="s">
        <v>235</v>
      </c>
      <c r="C204" s="5">
        <v>45449</v>
      </c>
      <c r="D204">
        <v>8</v>
      </c>
      <c r="E204">
        <v>14</v>
      </c>
      <c r="F204">
        <v>112</v>
      </c>
      <c r="G204" t="s">
        <v>352</v>
      </c>
      <c r="H204" t="s">
        <v>498</v>
      </c>
      <c r="I204" t="s">
        <v>357</v>
      </c>
    </row>
    <row r="205" spans="1:9" x14ac:dyDescent="0.3">
      <c r="A205">
        <v>202</v>
      </c>
      <c r="B205" t="s">
        <v>176</v>
      </c>
      <c r="C205" s="5">
        <v>45476</v>
      </c>
      <c r="D205">
        <v>9</v>
      </c>
      <c r="E205">
        <v>4</v>
      </c>
      <c r="F205">
        <v>36</v>
      </c>
      <c r="G205" t="s">
        <v>352</v>
      </c>
      <c r="H205" t="s">
        <v>499</v>
      </c>
      <c r="I205" t="s">
        <v>374</v>
      </c>
    </row>
    <row r="206" spans="1:9" x14ac:dyDescent="0.3">
      <c r="A206">
        <v>203</v>
      </c>
      <c r="B206" t="s">
        <v>144</v>
      </c>
      <c r="C206" s="5">
        <v>44646</v>
      </c>
      <c r="D206">
        <v>8</v>
      </c>
      <c r="E206">
        <v>20</v>
      </c>
      <c r="F206">
        <v>160</v>
      </c>
      <c r="G206" t="s">
        <v>355</v>
      </c>
      <c r="H206" t="s">
        <v>500</v>
      </c>
      <c r="I206" t="s">
        <v>373</v>
      </c>
    </row>
    <row r="207" spans="1:9" x14ac:dyDescent="0.3">
      <c r="A207">
        <v>204</v>
      </c>
      <c r="B207" t="s">
        <v>90</v>
      </c>
      <c r="C207" s="5">
        <v>44087</v>
      </c>
      <c r="D207">
        <v>6</v>
      </c>
      <c r="E207">
        <v>9</v>
      </c>
      <c r="F207">
        <v>54</v>
      </c>
      <c r="G207" t="s">
        <v>355</v>
      </c>
      <c r="H207" t="s">
        <v>353</v>
      </c>
      <c r="I207" t="s">
        <v>354</v>
      </c>
    </row>
    <row r="208" spans="1:9" x14ac:dyDescent="0.3">
      <c r="A208">
        <v>205</v>
      </c>
      <c r="B208" t="s">
        <v>224</v>
      </c>
      <c r="C208" s="5">
        <v>44890</v>
      </c>
      <c r="D208">
        <v>6</v>
      </c>
      <c r="E208">
        <v>9</v>
      </c>
      <c r="F208">
        <v>54</v>
      </c>
      <c r="G208" t="s">
        <v>352</v>
      </c>
      <c r="H208" t="s">
        <v>501</v>
      </c>
      <c r="I208" t="s">
        <v>364</v>
      </c>
    </row>
    <row r="209" spans="1:9" x14ac:dyDescent="0.3">
      <c r="A209">
        <v>206</v>
      </c>
      <c r="B209" t="s">
        <v>56</v>
      </c>
      <c r="C209" s="5">
        <v>45034</v>
      </c>
      <c r="D209">
        <v>3</v>
      </c>
      <c r="E209">
        <v>55</v>
      </c>
      <c r="F209">
        <v>165</v>
      </c>
      <c r="G209" t="s">
        <v>352</v>
      </c>
      <c r="H209" t="s">
        <v>502</v>
      </c>
      <c r="I209" t="s">
        <v>374</v>
      </c>
    </row>
    <row r="210" spans="1:9" x14ac:dyDescent="0.3">
      <c r="A210">
        <v>207</v>
      </c>
      <c r="B210" t="s">
        <v>276</v>
      </c>
      <c r="C210" s="5">
        <v>44144</v>
      </c>
      <c r="D210">
        <v>5</v>
      </c>
      <c r="E210">
        <v>8.5</v>
      </c>
      <c r="F210">
        <v>42.5</v>
      </c>
      <c r="G210" t="s">
        <v>352</v>
      </c>
      <c r="H210" t="s">
        <v>353</v>
      </c>
      <c r="I210" t="s">
        <v>366</v>
      </c>
    </row>
    <row r="211" spans="1:9" x14ac:dyDescent="0.3">
      <c r="A211">
        <v>208</v>
      </c>
      <c r="B211" t="s">
        <v>105</v>
      </c>
      <c r="C211" s="5">
        <v>45771</v>
      </c>
      <c r="D211">
        <v>9</v>
      </c>
      <c r="E211">
        <v>7.5</v>
      </c>
      <c r="F211">
        <v>67.5</v>
      </c>
      <c r="G211" t="s">
        <v>349</v>
      </c>
      <c r="H211" t="s">
        <v>503</v>
      </c>
      <c r="I211" t="s">
        <v>366</v>
      </c>
    </row>
    <row r="212" spans="1:9" x14ac:dyDescent="0.3">
      <c r="A212">
        <v>209</v>
      </c>
      <c r="B212" t="s">
        <v>56</v>
      </c>
      <c r="C212" s="5">
        <v>45789</v>
      </c>
      <c r="D212">
        <v>9</v>
      </c>
      <c r="E212">
        <v>55</v>
      </c>
      <c r="F212">
        <v>495</v>
      </c>
      <c r="G212" t="s">
        <v>349</v>
      </c>
      <c r="H212" t="s">
        <v>353</v>
      </c>
      <c r="I212" t="s">
        <v>351</v>
      </c>
    </row>
    <row r="213" spans="1:9" x14ac:dyDescent="0.3">
      <c r="A213">
        <v>210</v>
      </c>
      <c r="B213" t="s">
        <v>51</v>
      </c>
      <c r="C213" s="5">
        <v>44923</v>
      </c>
      <c r="D213">
        <v>2</v>
      </c>
      <c r="E213">
        <v>18</v>
      </c>
      <c r="F213">
        <v>36</v>
      </c>
      <c r="G213" t="s">
        <v>355</v>
      </c>
      <c r="H213" t="s">
        <v>504</v>
      </c>
      <c r="I213" t="s">
        <v>373</v>
      </c>
    </row>
    <row r="214" spans="1:9" x14ac:dyDescent="0.3">
      <c r="A214">
        <v>211</v>
      </c>
      <c r="B214" t="s">
        <v>206</v>
      </c>
      <c r="C214" s="5">
        <v>44181</v>
      </c>
      <c r="D214">
        <v>10</v>
      </c>
      <c r="E214">
        <v>280</v>
      </c>
      <c r="F214">
        <v>2800</v>
      </c>
      <c r="G214" t="s">
        <v>355</v>
      </c>
      <c r="H214" t="s">
        <v>505</v>
      </c>
      <c r="I214" t="s">
        <v>373</v>
      </c>
    </row>
    <row r="215" spans="1:9" x14ac:dyDescent="0.3">
      <c r="A215">
        <v>212</v>
      </c>
      <c r="B215" t="s">
        <v>288</v>
      </c>
      <c r="C215" s="5">
        <v>45521</v>
      </c>
      <c r="D215">
        <v>1</v>
      </c>
      <c r="E215">
        <v>8.75</v>
      </c>
      <c r="F215">
        <v>8.75</v>
      </c>
      <c r="G215" t="s">
        <v>352</v>
      </c>
      <c r="H215" t="s">
        <v>353</v>
      </c>
      <c r="I215" t="s">
        <v>373</v>
      </c>
    </row>
    <row r="216" spans="1:9" x14ac:dyDescent="0.3">
      <c r="A216">
        <v>213</v>
      </c>
      <c r="B216" t="s">
        <v>100</v>
      </c>
      <c r="C216" s="5">
        <v>45164</v>
      </c>
      <c r="D216">
        <v>4</v>
      </c>
      <c r="E216">
        <v>25</v>
      </c>
      <c r="F216">
        <v>100</v>
      </c>
      <c r="G216" t="s">
        <v>355</v>
      </c>
      <c r="H216" t="s">
        <v>506</v>
      </c>
      <c r="I216" t="s">
        <v>360</v>
      </c>
    </row>
    <row r="217" spans="1:9" x14ac:dyDescent="0.3">
      <c r="A217">
        <v>214</v>
      </c>
      <c r="B217" t="s">
        <v>33</v>
      </c>
      <c r="C217" s="5">
        <v>45651</v>
      </c>
      <c r="D217">
        <v>9</v>
      </c>
      <c r="E217">
        <v>5.5</v>
      </c>
      <c r="F217">
        <v>49.5</v>
      </c>
      <c r="G217" t="s">
        <v>349</v>
      </c>
      <c r="H217" t="s">
        <v>507</v>
      </c>
      <c r="I217" t="s">
        <v>354</v>
      </c>
    </row>
    <row r="218" spans="1:9" x14ac:dyDescent="0.3">
      <c r="A218">
        <v>215</v>
      </c>
      <c r="B218" t="s">
        <v>235</v>
      </c>
      <c r="C218" s="5">
        <v>45479</v>
      </c>
      <c r="D218">
        <v>7</v>
      </c>
      <c r="E218">
        <v>14</v>
      </c>
      <c r="F218">
        <v>98</v>
      </c>
      <c r="G218" t="s">
        <v>349</v>
      </c>
      <c r="H218" t="s">
        <v>508</v>
      </c>
      <c r="I218" t="s">
        <v>360</v>
      </c>
    </row>
    <row r="219" spans="1:9" x14ac:dyDescent="0.3">
      <c r="A219">
        <v>216</v>
      </c>
      <c r="B219" t="s">
        <v>164</v>
      </c>
      <c r="C219" s="5">
        <v>44731</v>
      </c>
      <c r="D219">
        <v>7</v>
      </c>
      <c r="E219">
        <v>45</v>
      </c>
      <c r="F219">
        <v>315</v>
      </c>
      <c r="G219" t="s">
        <v>349</v>
      </c>
      <c r="H219" t="s">
        <v>509</v>
      </c>
      <c r="I219" t="s">
        <v>373</v>
      </c>
    </row>
    <row r="220" spans="1:9" x14ac:dyDescent="0.3">
      <c r="A220">
        <v>217</v>
      </c>
      <c r="B220" t="s">
        <v>206</v>
      </c>
      <c r="C220" s="5">
        <v>44471</v>
      </c>
      <c r="D220">
        <v>6</v>
      </c>
      <c r="E220">
        <v>280</v>
      </c>
      <c r="F220">
        <v>1680</v>
      </c>
      <c r="G220" t="s">
        <v>355</v>
      </c>
      <c r="H220" t="s">
        <v>510</v>
      </c>
      <c r="I220" t="s">
        <v>361</v>
      </c>
    </row>
    <row r="221" spans="1:9" x14ac:dyDescent="0.3">
      <c r="A221">
        <v>218</v>
      </c>
      <c r="B221" t="s">
        <v>70</v>
      </c>
      <c r="C221" s="5">
        <v>45388</v>
      </c>
      <c r="D221">
        <v>6</v>
      </c>
      <c r="E221">
        <v>11</v>
      </c>
      <c r="F221">
        <v>66</v>
      </c>
      <c r="G221" t="s">
        <v>355</v>
      </c>
      <c r="H221" t="s">
        <v>511</v>
      </c>
      <c r="I221" t="s">
        <v>366</v>
      </c>
    </row>
    <row r="222" spans="1:9" x14ac:dyDescent="0.3">
      <c r="A222">
        <v>219</v>
      </c>
      <c r="B222" t="s">
        <v>176</v>
      </c>
      <c r="C222" s="5">
        <v>44081</v>
      </c>
      <c r="D222">
        <v>5</v>
      </c>
      <c r="E222">
        <v>4</v>
      </c>
      <c r="F222">
        <v>20</v>
      </c>
      <c r="G222" t="s">
        <v>349</v>
      </c>
      <c r="H222" t="s">
        <v>353</v>
      </c>
      <c r="I222" t="s">
        <v>374</v>
      </c>
    </row>
    <row r="223" spans="1:9" x14ac:dyDescent="0.3">
      <c r="A223">
        <v>220</v>
      </c>
      <c r="B223" t="s">
        <v>17</v>
      </c>
      <c r="C223" s="5">
        <v>44425</v>
      </c>
      <c r="D223">
        <v>7</v>
      </c>
      <c r="E223">
        <v>15</v>
      </c>
      <c r="F223">
        <v>105</v>
      </c>
      <c r="G223" t="s">
        <v>355</v>
      </c>
      <c r="H223" t="s">
        <v>512</v>
      </c>
      <c r="I223" t="s">
        <v>357</v>
      </c>
    </row>
    <row r="224" spans="1:9" x14ac:dyDescent="0.3">
      <c r="A224">
        <v>221</v>
      </c>
      <c r="B224" t="s">
        <v>247</v>
      </c>
      <c r="C224" s="5">
        <v>45307</v>
      </c>
      <c r="D224">
        <v>6</v>
      </c>
      <c r="E224">
        <v>11</v>
      </c>
      <c r="F224">
        <v>66</v>
      </c>
      <c r="G224" t="s">
        <v>352</v>
      </c>
      <c r="H224" t="s">
        <v>513</v>
      </c>
      <c r="I224" t="s">
        <v>364</v>
      </c>
    </row>
    <row r="225" spans="1:9" x14ac:dyDescent="0.3">
      <c r="A225">
        <v>222</v>
      </c>
      <c r="B225" t="s">
        <v>176</v>
      </c>
      <c r="C225" s="5">
        <v>44852</v>
      </c>
      <c r="D225">
        <v>5</v>
      </c>
      <c r="E225">
        <v>4</v>
      </c>
      <c r="F225">
        <v>20</v>
      </c>
      <c r="G225" t="s">
        <v>349</v>
      </c>
      <c r="H225" t="s">
        <v>353</v>
      </c>
      <c r="I225" t="s">
        <v>361</v>
      </c>
    </row>
    <row r="226" spans="1:9" x14ac:dyDescent="0.3">
      <c r="A226">
        <v>223</v>
      </c>
      <c r="B226" t="s">
        <v>180</v>
      </c>
      <c r="C226" s="5">
        <v>44767</v>
      </c>
      <c r="D226">
        <v>4</v>
      </c>
      <c r="E226">
        <v>12</v>
      </c>
      <c r="F226">
        <v>48</v>
      </c>
      <c r="G226" t="s">
        <v>352</v>
      </c>
      <c r="H226" t="s">
        <v>514</v>
      </c>
      <c r="I226" t="s">
        <v>360</v>
      </c>
    </row>
    <row r="227" spans="1:9" x14ac:dyDescent="0.3">
      <c r="A227">
        <v>224</v>
      </c>
      <c r="B227" t="s">
        <v>139</v>
      </c>
      <c r="C227" s="5">
        <v>44844</v>
      </c>
      <c r="D227">
        <v>10</v>
      </c>
      <c r="E227">
        <v>6</v>
      </c>
      <c r="F227">
        <v>60</v>
      </c>
      <c r="G227" t="s">
        <v>355</v>
      </c>
      <c r="H227" t="s">
        <v>515</v>
      </c>
      <c r="I227" t="s">
        <v>364</v>
      </c>
    </row>
    <row r="228" spans="1:9" x14ac:dyDescent="0.3">
      <c r="A228">
        <v>225</v>
      </c>
      <c r="B228" t="s">
        <v>82</v>
      </c>
      <c r="C228" s="5">
        <v>45566</v>
      </c>
      <c r="D228">
        <v>2</v>
      </c>
      <c r="E228">
        <v>12.5</v>
      </c>
      <c r="F228">
        <v>25</v>
      </c>
      <c r="G228" t="s">
        <v>349</v>
      </c>
      <c r="H228" t="s">
        <v>353</v>
      </c>
      <c r="I228" t="s">
        <v>351</v>
      </c>
    </row>
    <row r="229" spans="1:9" x14ac:dyDescent="0.3">
      <c r="A229">
        <v>226</v>
      </c>
      <c r="B229" t="s">
        <v>185</v>
      </c>
      <c r="C229" s="5">
        <v>44580</v>
      </c>
      <c r="D229">
        <v>7</v>
      </c>
      <c r="E229">
        <v>28</v>
      </c>
      <c r="F229">
        <v>196</v>
      </c>
      <c r="G229" t="s">
        <v>349</v>
      </c>
      <c r="H229" t="s">
        <v>353</v>
      </c>
      <c r="I229" t="s">
        <v>360</v>
      </c>
    </row>
    <row r="230" spans="1:9" x14ac:dyDescent="0.3">
      <c r="A230">
        <v>227</v>
      </c>
      <c r="B230" t="s">
        <v>247</v>
      </c>
      <c r="C230" s="5">
        <v>44981</v>
      </c>
      <c r="D230">
        <v>4</v>
      </c>
      <c r="E230">
        <v>11</v>
      </c>
      <c r="F230">
        <v>44</v>
      </c>
      <c r="G230" t="s">
        <v>349</v>
      </c>
      <c r="H230" t="s">
        <v>516</v>
      </c>
      <c r="I230" t="s">
        <v>361</v>
      </c>
    </row>
    <row r="231" spans="1:9" x14ac:dyDescent="0.3">
      <c r="A231">
        <v>228</v>
      </c>
      <c r="B231" t="s">
        <v>180</v>
      </c>
      <c r="C231" s="5">
        <v>44753</v>
      </c>
      <c r="D231">
        <v>9</v>
      </c>
      <c r="E231">
        <v>12</v>
      </c>
      <c r="F231">
        <v>108</v>
      </c>
      <c r="G231" t="s">
        <v>349</v>
      </c>
      <c r="H231" t="s">
        <v>517</v>
      </c>
      <c r="I231" t="s">
        <v>373</v>
      </c>
    </row>
    <row r="232" spans="1:9" x14ac:dyDescent="0.3">
      <c r="A232">
        <v>229</v>
      </c>
      <c r="B232" t="s">
        <v>230</v>
      </c>
      <c r="C232" s="5">
        <v>44094</v>
      </c>
      <c r="D232">
        <v>2</v>
      </c>
      <c r="E232">
        <v>4.5</v>
      </c>
      <c r="F232">
        <v>9</v>
      </c>
      <c r="G232" t="s">
        <v>349</v>
      </c>
      <c r="H232" t="s">
        <v>518</v>
      </c>
      <c r="I232" t="s">
        <v>364</v>
      </c>
    </row>
    <row r="233" spans="1:9" x14ac:dyDescent="0.3">
      <c r="A233">
        <v>230</v>
      </c>
      <c r="B233" t="s">
        <v>149</v>
      </c>
      <c r="C233" s="5">
        <v>45377</v>
      </c>
      <c r="D233">
        <v>3</v>
      </c>
      <c r="E233">
        <v>11.5</v>
      </c>
      <c r="F233">
        <v>34.5</v>
      </c>
      <c r="G233" t="s">
        <v>352</v>
      </c>
      <c r="H233" t="s">
        <v>519</v>
      </c>
      <c r="I233" t="s">
        <v>364</v>
      </c>
    </row>
    <row r="234" spans="1:9" x14ac:dyDescent="0.3">
      <c r="A234">
        <v>231</v>
      </c>
      <c r="B234" t="s">
        <v>288</v>
      </c>
      <c r="C234" s="5">
        <v>43923</v>
      </c>
      <c r="D234">
        <v>1</v>
      </c>
      <c r="E234">
        <v>8.75</v>
      </c>
      <c r="F234">
        <v>8.75</v>
      </c>
      <c r="G234" t="s">
        <v>352</v>
      </c>
      <c r="H234" t="s">
        <v>520</v>
      </c>
      <c r="I234" t="s">
        <v>354</v>
      </c>
    </row>
    <row r="235" spans="1:9" x14ac:dyDescent="0.3">
      <c r="A235">
        <v>232</v>
      </c>
      <c r="B235" t="s">
        <v>276</v>
      </c>
      <c r="C235" s="5">
        <v>44766</v>
      </c>
      <c r="D235">
        <v>3</v>
      </c>
      <c r="E235">
        <v>8.5</v>
      </c>
      <c r="F235">
        <v>25.5</v>
      </c>
      <c r="G235" t="s">
        <v>355</v>
      </c>
      <c r="H235" t="s">
        <v>521</v>
      </c>
      <c r="I235" t="s">
        <v>357</v>
      </c>
    </row>
    <row r="236" spans="1:9" x14ac:dyDescent="0.3">
      <c r="A236">
        <v>233</v>
      </c>
      <c r="B236" t="s">
        <v>51</v>
      </c>
      <c r="C236" s="5">
        <v>44483</v>
      </c>
      <c r="D236">
        <v>3</v>
      </c>
      <c r="E236">
        <v>18</v>
      </c>
      <c r="F236">
        <v>54</v>
      </c>
      <c r="G236" t="s">
        <v>349</v>
      </c>
      <c r="H236" t="s">
        <v>522</v>
      </c>
      <c r="I236" t="s">
        <v>351</v>
      </c>
    </row>
    <row r="237" spans="1:9" x14ac:dyDescent="0.3">
      <c r="A237">
        <v>234</v>
      </c>
      <c r="B237" t="s">
        <v>251</v>
      </c>
      <c r="C237" s="5">
        <v>44519</v>
      </c>
      <c r="D237">
        <v>9</v>
      </c>
      <c r="E237">
        <v>22</v>
      </c>
      <c r="F237">
        <v>198</v>
      </c>
      <c r="G237" t="s">
        <v>355</v>
      </c>
      <c r="H237" t="s">
        <v>523</v>
      </c>
      <c r="I237" t="s">
        <v>373</v>
      </c>
    </row>
    <row r="238" spans="1:9" x14ac:dyDescent="0.3">
      <c r="A238">
        <v>235</v>
      </c>
      <c r="B238" t="s">
        <v>144</v>
      </c>
      <c r="C238" s="5">
        <v>44803</v>
      </c>
      <c r="D238">
        <v>1</v>
      </c>
      <c r="E238">
        <v>20</v>
      </c>
      <c r="F238">
        <v>20</v>
      </c>
      <c r="G238" t="s">
        <v>349</v>
      </c>
      <c r="H238" t="s">
        <v>524</v>
      </c>
      <c r="I238" t="s">
        <v>361</v>
      </c>
    </row>
    <row r="239" spans="1:9" x14ac:dyDescent="0.3">
      <c r="A239">
        <v>236</v>
      </c>
      <c r="B239" t="s">
        <v>251</v>
      </c>
      <c r="C239" s="5">
        <v>44461</v>
      </c>
      <c r="D239">
        <v>1</v>
      </c>
      <c r="E239">
        <v>22</v>
      </c>
      <c r="F239">
        <v>22</v>
      </c>
      <c r="G239" t="s">
        <v>355</v>
      </c>
      <c r="H239" t="s">
        <v>525</v>
      </c>
      <c r="I239" t="s">
        <v>373</v>
      </c>
    </row>
    <row r="240" spans="1:9" x14ac:dyDescent="0.3">
      <c r="A240">
        <v>237</v>
      </c>
      <c r="B240" t="s">
        <v>247</v>
      </c>
      <c r="C240" s="5">
        <v>44297</v>
      </c>
      <c r="D240">
        <v>1</v>
      </c>
      <c r="E240">
        <v>11</v>
      </c>
      <c r="F240">
        <v>11</v>
      </c>
      <c r="G240" t="s">
        <v>355</v>
      </c>
      <c r="H240" t="s">
        <v>526</v>
      </c>
      <c r="I240" t="s">
        <v>373</v>
      </c>
    </row>
    <row r="241" spans="1:9" x14ac:dyDescent="0.3">
      <c r="A241">
        <v>238</v>
      </c>
      <c r="B241" t="s">
        <v>199</v>
      </c>
      <c r="C241" s="5">
        <v>45553</v>
      </c>
      <c r="D241">
        <v>7</v>
      </c>
      <c r="E241">
        <v>3.5</v>
      </c>
      <c r="F241">
        <v>24.5</v>
      </c>
      <c r="G241" t="s">
        <v>352</v>
      </c>
      <c r="H241" t="s">
        <v>527</v>
      </c>
      <c r="I241" t="s">
        <v>360</v>
      </c>
    </row>
    <row r="242" spans="1:9" x14ac:dyDescent="0.3">
      <c r="A242">
        <v>239</v>
      </c>
      <c r="B242" t="s">
        <v>247</v>
      </c>
      <c r="C242" s="5">
        <v>45772</v>
      </c>
      <c r="D242">
        <v>2</v>
      </c>
      <c r="E242">
        <v>11</v>
      </c>
      <c r="F242">
        <v>22</v>
      </c>
      <c r="G242" t="s">
        <v>352</v>
      </c>
      <c r="H242" t="s">
        <v>353</v>
      </c>
      <c r="I242" t="s">
        <v>357</v>
      </c>
    </row>
    <row r="243" spans="1:9" x14ac:dyDescent="0.3">
      <c r="A243">
        <v>240</v>
      </c>
      <c r="B243" t="s">
        <v>128</v>
      </c>
      <c r="C243" s="5">
        <v>44141</v>
      </c>
      <c r="D243">
        <v>7</v>
      </c>
      <c r="E243">
        <v>16</v>
      </c>
      <c r="F243">
        <v>112</v>
      </c>
      <c r="G243" t="s">
        <v>355</v>
      </c>
      <c r="H243" t="s">
        <v>353</v>
      </c>
      <c r="I243" t="s">
        <v>364</v>
      </c>
    </row>
    <row r="244" spans="1:9" x14ac:dyDescent="0.3">
      <c r="A244">
        <v>241</v>
      </c>
      <c r="B244" t="s">
        <v>199</v>
      </c>
      <c r="C244" s="5">
        <v>45083</v>
      </c>
      <c r="D244">
        <v>8</v>
      </c>
      <c r="E244">
        <v>3.5</v>
      </c>
      <c r="F244">
        <v>28</v>
      </c>
      <c r="G244" t="s">
        <v>355</v>
      </c>
      <c r="H244" t="s">
        <v>528</v>
      </c>
      <c r="I244" t="s">
        <v>377</v>
      </c>
    </row>
    <row r="245" spans="1:9" x14ac:dyDescent="0.3">
      <c r="A245">
        <v>242</v>
      </c>
      <c r="B245" t="s">
        <v>276</v>
      </c>
      <c r="C245" s="5">
        <v>44255</v>
      </c>
      <c r="D245">
        <v>9</v>
      </c>
      <c r="E245">
        <v>8.5</v>
      </c>
      <c r="F245">
        <v>76.5</v>
      </c>
      <c r="G245" t="s">
        <v>349</v>
      </c>
      <c r="H245" t="s">
        <v>529</v>
      </c>
      <c r="I245" t="s">
        <v>364</v>
      </c>
    </row>
    <row r="246" spans="1:9" x14ac:dyDescent="0.3">
      <c r="A246">
        <v>243</v>
      </c>
      <c r="B246" t="s">
        <v>195</v>
      </c>
      <c r="C246" s="5">
        <v>44473</v>
      </c>
      <c r="D246">
        <v>3</v>
      </c>
      <c r="E246">
        <v>3.5</v>
      </c>
      <c r="F246">
        <v>10.5</v>
      </c>
      <c r="G246" t="s">
        <v>349</v>
      </c>
      <c r="H246" t="s">
        <v>530</v>
      </c>
      <c r="I246" t="s">
        <v>364</v>
      </c>
    </row>
    <row r="247" spans="1:9" x14ac:dyDescent="0.3">
      <c r="A247">
        <v>244</v>
      </c>
      <c r="B247" t="s">
        <v>105</v>
      </c>
      <c r="C247" s="5">
        <v>45215</v>
      </c>
      <c r="D247">
        <v>5</v>
      </c>
      <c r="E247">
        <v>7.5</v>
      </c>
      <c r="F247">
        <v>37.5</v>
      </c>
      <c r="G247" t="s">
        <v>355</v>
      </c>
      <c r="H247" t="s">
        <v>531</v>
      </c>
      <c r="I247" t="s">
        <v>351</v>
      </c>
    </row>
    <row r="248" spans="1:9" x14ac:dyDescent="0.3">
      <c r="A248">
        <v>245</v>
      </c>
      <c r="B248" t="s">
        <v>243</v>
      </c>
      <c r="C248" s="5">
        <v>44442</v>
      </c>
      <c r="D248">
        <v>4</v>
      </c>
      <c r="E248">
        <v>6.5</v>
      </c>
      <c r="F248">
        <v>26</v>
      </c>
      <c r="G248" t="s">
        <v>349</v>
      </c>
      <c r="H248" t="s">
        <v>532</v>
      </c>
      <c r="I248" t="s">
        <v>366</v>
      </c>
    </row>
    <row r="249" spans="1:9" x14ac:dyDescent="0.3">
      <c r="A249">
        <v>246</v>
      </c>
      <c r="B249" t="s">
        <v>216</v>
      </c>
      <c r="C249" s="5">
        <v>45274</v>
      </c>
      <c r="D249">
        <v>8</v>
      </c>
      <c r="E249">
        <v>10</v>
      </c>
      <c r="F249">
        <v>80</v>
      </c>
      <c r="G249" t="s">
        <v>349</v>
      </c>
      <c r="H249" t="s">
        <v>533</v>
      </c>
      <c r="I249" t="s">
        <v>351</v>
      </c>
    </row>
    <row r="250" spans="1:9" x14ac:dyDescent="0.3">
      <c r="A250">
        <v>247</v>
      </c>
      <c r="B250" t="s">
        <v>139</v>
      </c>
      <c r="C250" s="5">
        <v>44080</v>
      </c>
      <c r="D250">
        <v>10</v>
      </c>
      <c r="E250">
        <v>6</v>
      </c>
      <c r="F250">
        <v>60</v>
      </c>
      <c r="G250" t="s">
        <v>355</v>
      </c>
      <c r="H250" t="s">
        <v>534</v>
      </c>
      <c r="I250" t="s">
        <v>357</v>
      </c>
    </row>
    <row r="251" spans="1:9" x14ac:dyDescent="0.3">
      <c r="A251">
        <v>248</v>
      </c>
      <c r="B251" t="s">
        <v>199</v>
      </c>
      <c r="C251" s="5">
        <v>45478</v>
      </c>
      <c r="D251">
        <v>3</v>
      </c>
      <c r="E251">
        <v>3.5</v>
      </c>
      <c r="F251">
        <v>10.5</v>
      </c>
      <c r="G251" t="s">
        <v>349</v>
      </c>
      <c r="H251" t="s">
        <v>353</v>
      </c>
      <c r="I251" t="s">
        <v>374</v>
      </c>
    </row>
    <row r="252" spans="1:9" x14ac:dyDescent="0.3">
      <c r="A252">
        <v>249</v>
      </c>
      <c r="B252" t="s">
        <v>105</v>
      </c>
      <c r="C252" s="5">
        <v>45723</v>
      </c>
      <c r="D252">
        <v>8</v>
      </c>
      <c r="E252">
        <v>7.5</v>
      </c>
      <c r="F252">
        <v>60</v>
      </c>
      <c r="G252" t="s">
        <v>355</v>
      </c>
      <c r="H252" t="s">
        <v>353</v>
      </c>
      <c r="I252" t="s">
        <v>354</v>
      </c>
    </row>
    <row r="253" spans="1:9" x14ac:dyDescent="0.3">
      <c r="A253">
        <v>250</v>
      </c>
      <c r="B253" t="s">
        <v>309</v>
      </c>
      <c r="C253" s="5">
        <v>44244</v>
      </c>
      <c r="D253">
        <v>9</v>
      </c>
      <c r="E253">
        <v>7</v>
      </c>
      <c r="F253">
        <v>63</v>
      </c>
      <c r="G253" t="s">
        <v>349</v>
      </c>
      <c r="H253" t="s">
        <v>535</v>
      </c>
      <c r="I253" t="s">
        <v>351</v>
      </c>
    </row>
    <row r="254" spans="1:9" x14ac:dyDescent="0.3">
      <c r="A254">
        <v>251</v>
      </c>
      <c r="B254" t="s">
        <v>70</v>
      </c>
      <c r="C254" s="5">
        <v>44054</v>
      </c>
      <c r="D254">
        <v>10</v>
      </c>
      <c r="E254">
        <v>11</v>
      </c>
      <c r="F254">
        <v>110</v>
      </c>
      <c r="G254" t="s">
        <v>355</v>
      </c>
      <c r="H254" t="s">
        <v>536</v>
      </c>
      <c r="I254" t="s">
        <v>360</v>
      </c>
    </row>
    <row r="255" spans="1:9" x14ac:dyDescent="0.3">
      <c r="A255">
        <v>252</v>
      </c>
      <c r="B255" t="s">
        <v>256</v>
      </c>
      <c r="C255" s="5">
        <v>45684</v>
      </c>
      <c r="D255">
        <v>9</v>
      </c>
      <c r="E255">
        <v>32</v>
      </c>
      <c r="F255">
        <v>288</v>
      </c>
      <c r="G255" t="s">
        <v>352</v>
      </c>
      <c r="H255" t="s">
        <v>537</v>
      </c>
      <c r="I255" t="s">
        <v>374</v>
      </c>
    </row>
    <row r="256" spans="1:9" x14ac:dyDescent="0.3">
      <c r="A256">
        <v>253</v>
      </c>
      <c r="B256" t="s">
        <v>128</v>
      </c>
      <c r="C256" s="5">
        <v>44507</v>
      </c>
      <c r="D256">
        <v>8</v>
      </c>
      <c r="E256">
        <v>16</v>
      </c>
      <c r="F256">
        <v>128</v>
      </c>
      <c r="G256" t="s">
        <v>352</v>
      </c>
      <c r="H256" t="s">
        <v>538</v>
      </c>
      <c r="I256" t="s">
        <v>360</v>
      </c>
    </row>
    <row r="257" spans="1:9" x14ac:dyDescent="0.3">
      <c r="A257">
        <v>254</v>
      </c>
      <c r="B257" t="s">
        <v>243</v>
      </c>
      <c r="C257" s="5">
        <v>45833</v>
      </c>
      <c r="D257">
        <v>3</v>
      </c>
      <c r="E257">
        <v>6.5</v>
      </c>
      <c r="F257">
        <v>19.5</v>
      </c>
      <c r="G257" t="s">
        <v>349</v>
      </c>
      <c r="H257" t="s">
        <v>539</v>
      </c>
      <c r="I257" t="s">
        <v>354</v>
      </c>
    </row>
    <row r="258" spans="1:9" x14ac:dyDescent="0.3">
      <c r="A258">
        <v>255</v>
      </c>
      <c r="B258" t="s">
        <v>134</v>
      </c>
      <c r="C258" s="5">
        <v>44239</v>
      </c>
      <c r="D258">
        <v>5</v>
      </c>
      <c r="E258">
        <v>38</v>
      </c>
      <c r="F258">
        <v>190</v>
      </c>
      <c r="G258" t="s">
        <v>349</v>
      </c>
      <c r="H258" t="s">
        <v>353</v>
      </c>
      <c r="I258" t="s">
        <v>360</v>
      </c>
    </row>
    <row r="259" spans="1:9" x14ac:dyDescent="0.3">
      <c r="A259">
        <v>256</v>
      </c>
      <c r="B259" t="s">
        <v>199</v>
      </c>
      <c r="C259" s="5">
        <v>44014</v>
      </c>
      <c r="D259">
        <v>10</v>
      </c>
      <c r="E259">
        <v>3.5</v>
      </c>
      <c r="F259">
        <v>35</v>
      </c>
      <c r="G259" t="s">
        <v>352</v>
      </c>
      <c r="H259" t="s">
        <v>540</v>
      </c>
      <c r="I259" t="s">
        <v>360</v>
      </c>
    </row>
    <row r="260" spans="1:9" x14ac:dyDescent="0.3">
      <c r="A260">
        <v>257</v>
      </c>
      <c r="B260" t="s">
        <v>292</v>
      </c>
      <c r="C260" s="5">
        <v>44686</v>
      </c>
      <c r="D260">
        <v>3</v>
      </c>
      <c r="E260">
        <v>13</v>
      </c>
      <c r="F260">
        <v>39</v>
      </c>
      <c r="G260" t="s">
        <v>352</v>
      </c>
      <c r="H260" t="s">
        <v>541</v>
      </c>
      <c r="I260" t="s">
        <v>354</v>
      </c>
    </row>
    <row r="261" spans="1:9" x14ac:dyDescent="0.3">
      <c r="A261">
        <v>258</v>
      </c>
      <c r="B261" t="s">
        <v>292</v>
      </c>
      <c r="C261" s="5">
        <v>45749</v>
      </c>
      <c r="D261">
        <v>5</v>
      </c>
      <c r="E261">
        <v>13</v>
      </c>
      <c r="F261">
        <v>65</v>
      </c>
      <c r="G261" t="s">
        <v>352</v>
      </c>
      <c r="H261" t="s">
        <v>353</v>
      </c>
      <c r="I261" t="s">
        <v>373</v>
      </c>
    </row>
    <row r="262" spans="1:9" x14ac:dyDescent="0.3">
      <c r="A262">
        <v>259</v>
      </c>
      <c r="B262" t="s">
        <v>45</v>
      </c>
      <c r="C262" s="5">
        <v>44050</v>
      </c>
      <c r="D262">
        <v>6</v>
      </c>
      <c r="E262">
        <v>28</v>
      </c>
      <c r="F262">
        <v>168</v>
      </c>
      <c r="G262" t="s">
        <v>349</v>
      </c>
      <c r="H262" t="s">
        <v>542</v>
      </c>
      <c r="I262" t="s">
        <v>364</v>
      </c>
    </row>
    <row r="263" spans="1:9" x14ac:dyDescent="0.3">
      <c r="A263">
        <v>260</v>
      </c>
      <c r="B263" t="s">
        <v>276</v>
      </c>
      <c r="C263" s="5">
        <v>44842</v>
      </c>
      <c r="D263">
        <v>3</v>
      </c>
      <c r="E263">
        <v>8.5</v>
      </c>
      <c r="F263">
        <v>25.5</v>
      </c>
      <c r="G263" t="s">
        <v>355</v>
      </c>
      <c r="H263" t="s">
        <v>543</v>
      </c>
      <c r="I263" t="s">
        <v>374</v>
      </c>
    </row>
    <row r="264" spans="1:9" x14ac:dyDescent="0.3">
      <c r="A264">
        <v>261</v>
      </c>
      <c r="B264" t="s">
        <v>171</v>
      </c>
      <c r="C264" s="5">
        <v>44163</v>
      </c>
      <c r="D264">
        <v>8</v>
      </c>
      <c r="E264">
        <v>9.5</v>
      </c>
      <c r="F264">
        <v>76</v>
      </c>
      <c r="G264" t="s">
        <v>355</v>
      </c>
      <c r="H264" t="s">
        <v>353</v>
      </c>
      <c r="I264" t="s">
        <v>377</v>
      </c>
    </row>
    <row r="265" spans="1:9" x14ac:dyDescent="0.3">
      <c r="A265">
        <v>262</v>
      </c>
      <c r="B265" t="s">
        <v>82</v>
      </c>
      <c r="C265" s="5">
        <v>45339</v>
      </c>
      <c r="D265">
        <v>6</v>
      </c>
      <c r="E265">
        <v>12.5</v>
      </c>
      <c r="F265">
        <v>75</v>
      </c>
      <c r="G265" t="s">
        <v>349</v>
      </c>
      <c r="H265" t="s">
        <v>544</v>
      </c>
      <c r="I265" t="s">
        <v>366</v>
      </c>
    </row>
    <row r="266" spans="1:9" x14ac:dyDescent="0.3">
      <c r="A266">
        <v>263</v>
      </c>
      <c r="B266" t="s">
        <v>292</v>
      </c>
      <c r="C266" s="5">
        <v>45082</v>
      </c>
      <c r="D266">
        <v>7</v>
      </c>
      <c r="E266">
        <v>13</v>
      </c>
      <c r="F266">
        <v>91</v>
      </c>
      <c r="G266" t="s">
        <v>349</v>
      </c>
      <c r="H266" t="s">
        <v>545</v>
      </c>
      <c r="I266" t="s">
        <v>361</v>
      </c>
    </row>
    <row r="267" spans="1:9" x14ac:dyDescent="0.3">
      <c r="A267">
        <v>264</v>
      </c>
      <c r="B267" t="s">
        <v>256</v>
      </c>
      <c r="C267" s="5">
        <v>44026</v>
      </c>
      <c r="D267">
        <v>3</v>
      </c>
      <c r="E267">
        <v>32</v>
      </c>
      <c r="F267">
        <v>96</v>
      </c>
      <c r="G267" t="s">
        <v>352</v>
      </c>
      <c r="H267" t="s">
        <v>546</v>
      </c>
      <c r="I267" t="s">
        <v>360</v>
      </c>
    </row>
    <row r="268" spans="1:9" x14ac:dyDescent="0.3">
      <c r="A268">
        <v>265</v>
      </c>
      <c r="B268" t="s">
        <v>100</v>
      </c>
      <c r="C268" s="5">
        <v>44616</v>
      </c>
      <c r="D268">
        <v>4</v>
      </c>
      <c r="E268">
        <v>25</v>
      </c>
      <c r="F268">
        <v>100</v>
      </c>
      <c r="G268" t="s">
        <v>349</v>
      </c>
      <c r="H268" t="s">
        <v>547</v>
      </c>
      <c r="I268" t="s">
        <v>351</v>
      </c>
    </row>
    <row r="269" spans="1:9" x14ac:dyDescent="0.3">
      <c r="A269">
        <v>266</v>
      </c>
      <c r="B269" t="s">
        <v>251</v>
      </c>
      <c r="C269" s="5">
        <v>45311</v>
      </c>
      <c r="D269">
        <v>10</v>
      </c>
      <c r="E269">
        <v>22</v>
      </c>
      <c r="F269">
        <v>220</v>
      </c>
      <c r="G269" t="s">
        <v>352</v>
      </c>
      <c r="H269" t="s">
        <v>353</v>
      </c>
      <c r="I269" t="s">
        <v>357</v>
      </c>
    </row>
    <row r="270" spans="1:9" x14ac:dyDescent="0.3">
      <c r="A270">
        <v>267</v>
      </c>
      <c r="B270" t="s">
        <v>216</v>
      </c>
      <c r="C270" s="5">
        <v>44314</v>
      </c>
      <c r="D270">
        <v>1</v>
      </c>
      <c r="E270">
        <v>10</v>
      </c>
      <c r="F270">
        <v>10</v>
      </c>
      <c r="G270" t="s">
        <v>355</v>
      </c>
      <c r="H270" t="s">
        <v>353</v>
      </c>
      <c r="I270" t="s">
        <v>351</v>
      </c>
    </row>
    <row r="271" spans="1:9" x14ac:dyDescent="0.3">
      <c r="A271">
        <v>268</v>
      </c>
      <c r="B271" t="s">
        <v>164</v>
      </c>
      <c r="C271" s="5">
        <v>44661</v>
      </c>
      <c r="D271">
        <v>9</v>
      </c>
      <c r="E271">
        <v>45</v>
      </c>
      <c r="F271">
        <v>405</v>
      </c>
      <c r="G271" t="s">
        <v>355</v>
      </c>
      <c r="H271" t="s">
        <v>548</v>
      </c>
      <c r="I271" t="s">
        <v>374</v>
      </c>
    </row>
    <row r="272" spans="1:9" x14ac:dyDescent="0.3">
      <c r="A272">
        <v>269</v>
      </c>
      <c r="B272" t="s">
        <v>56</v>
      </c>
      <c r="C272" s="5">
        <v>45707</v>
      </c>
      <c r="D272">
        <v>5</v>
      </c>
      <c r="E272">
        <v>55</v>
      </c>
      <c r="F272">
        <v>275</v>
      </c>
      <c r="G272" t="s">
        <v>349</v>
      </c>
      <c r="H272" t="s">
        <v>549</v>
      </c>
      <c r="I272" t="s">
        <v>377</v>
      </c>
    </row>
    <row r="273" spans="1:9" x14ac:dyDescent="0.3">
      <c r="A273">
        <v>270</v>
      </c>
      <c r="B273" t="s">
        <v>211</v>
      </c>
      <c r="C273" s="5">
        <v>44144</v>
      </c>
      <c r="D273">
        <v>8</v>
      </c>
      <c r="E273">
        <v>19</v>
      </c>
      <c r="F273">
        <v>152</v>
      </c>
      <c r="G273" t="s">
        <v>355</v>
      </c>
      <c r="H273" t="s">
        <v>550</v>
      </c>
      <c r="I273" t="s">
        <v>361</v>
      </c>
    </row>
    <row r="274" spans="1:9" x14ac:dyDescent="0.3">
      <c r="A274">
        <v>271</v>
      </c>
      <c r="B274" t="s">
        <v>216</v>
      </c>
      <c r="C274" s="5">
        <v>44955</v>
      </c>
      <c r="D274">
        <v>8</v>
      </c>
      <c r="E274">
        <v>10</v>
      </c>
      <c r="F274">
        <v>80</v>
      </c>
      <c r="G274" t="s">
        <v>355</v>
      </c>
      <c r="H274" t="s">
        <v>551</v>
      </c>
      <c r="I274" t="s">
        <v>366</v>
      </c>
    </row>
    <row r="275" spans="1:9" x14ac:dyDescent="0.3">
      <c r="A275">
        <v>272</v>
      </c>
      <c r="B275" t="s">
        <v>120</v>
      </c>
      <c r="C275" s="5">
        <v>44337</v>
      </c>
      <c r="D275">
        <v>10</v>
      </c>
      <c r="E275">
        <v>35</v>
      </c>
      <c r="F275">
        <v>350</v>
      </c>
      <c r="G275" t="s">
        <v>352</v>
      </c>
      <c r="H275" t="s">
        <v>552</v>
      </c>
      <c r="I275" t="s">
        <v>357</v>
      </c>
    </row>
    <row r="276" spans="1:9" x14ac:dyDescent="0.3">
      <c r="A276">
        <v>273</v>
      </c>
      <c r="B276" t="s">
        <v>90</v>
      </c>
      <c r="C276" s="5">
        <v>45709</v>
      </c>
      <c r="D276">
        <v>10</v>
      </c>
      <c r="E276">
        <v>9</v>
      </c>
      <c r="F276">
        <v>90</v>
      </c>
      <c r="G276" t="s">
        <v>352</v>
      </c>
      <c r="H276" t="s">
        <v>353</v>
      </c>
      <c r="I276" t="s">
        <v>364</v>
      </c>
    </row>
    <row r="277" spans="1:9" x14ac:dyDescent="0.3">
      <c r="A277">
        <v>274</v>
      </c>
      <c r="B277" t="s">
        <v>180</v>
      </c>
      <c r="C277" s="5">
        <v>44245</v>
      </c>
      <c r="D277">
        <v>10</v>
      </c>
      <c r="E277">
        <v>12</v>
      </c>
      <c r="F277">
        <v>120</v>
      </c>
      <c r="G277" t="s">
        <v>355</v>
      </c>
      <c r="H277" t="s">
        <v>353</v>
      </c>
      <c r="I277" t="s">
        <v>357</v>
      </c>
    </row>
    <row r="278" spans="1:9" x14ac:dyDescent="0.3">
      <c r="A278">
        <v>275</v>
      </c>
      <c r="B278" t="s">
        <v>276</v>
      </c>
      <c r="C278" s="5">
        <v>44735</v>
      </c>
      <c r="D278">
        <v>2</v>
      </c>
      <c r="E278">
        <v>8.5</v>
      </c>
      <c r="F278">
        <v>17</v>
      </c>
      <c r="G278" t="s">
        <v>355</v>
      </c>
      <c r="H278" t="s">
        <v>353</v>
      </c>
      <c r="I278" t="s">
        <v>373</v>
      </c>
    </row>
    <row r="279" spans="1:9" x14ac:dyDescent="0.3">
      <c r="A279">
        <v>276</v>
      </c>
      <c r="B279" t="s">
        <v>33</v>
      </c>
      <c r="C279" s="5">
        <v>44017</v>
      </c>
      <c r="D279">
        <v>9</v>
      </c>
      <c r="E279">
        <v>5.5</v>
      </c>
      <c r="F279">
        <v>49.5</v>
      </c>
      <c r="G279" t="s">
        <v>349</v>
      </c>
      <c r="H279" t="s">
        <v>553</v>
      </c>
      <c r="I279" t="s">
        <v>377</v>
      </c>
    </row>
    <row r="280" spans="1:9" x14ac:dyDescent="0.3">
      <c r="A280">
        <v>277</v>
      </c>
      <c r="B280" t="s">
        <v>180</v>
      </c>
      <c r="C280" s="5">
        <v>44681</v>
      </c>
      <c r="D280">
        <v>8</v>
      </c>
      <c r="E280">
        <v>12</v>
      </c>
      <c r="F280">
        <v>96</v>
      </c>
      <c r="G280" t="s">
        <v>355</v>
      </c>
      <c r="H280" t="s">
        <v>353</v>
      </c>
      <c r="I280" t="s">
        <v>354</v>
      </c>
    </row>
    <row r="281" spans="1:9" x14ac:dyDescent="0.3">
      <c r="A281">
        <v>278</v>
      </c>
      <c r="B281" t="s">
        <v>224</v>
      </c>
      <c r="C281" s="5">
        <v>45483</v>
      </c>
      <c r="D281">
        <v>5</v>
      </c>
      <c r="E281">
        <v>9</v>
      </c>
      <c r="F281">
        <v>45</v>
      </c>
      <c r="G281" t="s">
        <v>355</v>
      </c>
      <c r="H281" t="s">
        <v>353</v>
      </c>
      <c r="I281" t="s">
        <v>351</v>
      </c>
    </row>
    <row r="282" spans="1:9" x14ac:dyDescent="0.3">
      <c r="A282">
        <v>279</v>
      </c>
      <c r="B282" t="s">
        <v>82</v>
      </c>
      <c r="C282" s="5">
        <v>45358</v>
      </c>
      <c r="D282">
        <v>4</v>
      </c>
      <c r="E282">
        <v>12.5</v>
      </c>
      <c r="F282">
        <v>50</v>
      </c>
      <c r="G282" t="s">
        <v>355</v>
      </c>
      <c r="H282" t="s">
        <v>353</v>
      </c>
      <c r="I282" t="s">
        <v>361</v>
      </c>
    </row>
    <row r="283" spans="1:9" x14ac:dyDescent="0.3">
      <c r="A283">
        <v>280</v>
      </c>
      <c r="B283" t="s">
        <v>105</v>
      </c>
      <c r="C283" s="5">
        <v>45265</v>
      </c>
      <c r="D283">
        <v>2</v>
      </c>
      <c r="E283">
        <v>7.5</v>
      </c>
      <c r="F283">
        <v>15</v>
      </c>
      <c r="G283" t="s">
        <v>355</v>
      </c>
      <c r="H283" t="s">
        <v>554</v>
      </c>
      <c r="I283" t="s">
        <v>354</v>
      </c>
    </row>
    <row r="284" spans="1:9" x14ac:dyDescent="0.3">
      <c r="A284">
        <v>281</v>
      </c>
      <c r="B284" t="s">
        <v>288</v>
      </c>
      <c r="C284" s="5">
        <v>44418</v>
      </c>
      <c r="D284">
        <v>7</v>
      </c>
      <c r="E284">
        <v>8.75</v>
      </c>
      <c r="F284">
        <v>61.25</v>
      </c>
      <c r="G284" t="s">
        <v>352</v>
      </c>
      <c r="H284" t="s">
        <v>555</v>
      </c>
      <c r="I284" t="s">
        <v>361</v>
      </c>
    </row>
    <row r="285" spans="1:9" x14ac:dyDescent="0.3">
      <c r="A285">
        <v>282</v>
      </c>
      <c r="B285" t="s">
        <v>149</v>
      </c>
      <c r="C285" s="5">
        <v>45656</v>
      </c>
      <c r="D285">
        <v>7</v>
      </c>
      <c r="E285">
        <v>11.5</v>
      </c>
      <c r="F285">
        <v>80.5</v>
      </c>
      <c r="G285" t="s">
        <v>349</v>
      </c>
      <c r="H285" t="s">
        <v>556</v>
      </c>
      <c r="I285" t="s">
        <v>361</v>
      </c>
    </row>
    <row r="286" spans="1:9" x14ac:dyDescent="0.3">
      <c r="A286">
        <v>283</v>
      </c>
      <c r="B286" t="s">
        <v>124</v>
      </c>
      <c r="C286" s="5">
        <v>45229</v>
      </c>
      <c r="D286">
        <v>9</v>
      </c>
      <c r="E286">
        <v>22</v>
      </c>
      <c r="F286">
        <v>198</v>
      </c>
      <c r="G286" t="s">
        <v>352</v>
      </c>
      <c r="H286" t="s">
        <v>557</v>
      </c>
      <c r="I286" t="s">
        <v>374</v>
      </c>
    </row>
    <row r="287" spans="1:9" x14ac:dyDescent="0.3">
      <c r="A287">
        <v>284</v>
      </c>
      <c r="B287" t="s">
        <v>292</v>
      </c>
      <c r="C287" s="5">
        <v>44931</v>
      </c>
      <c r="D287">
        <v>7</v>
      </c>
      <c r="E287">
        <v>13</v>
      </c>
      <c r="F287">
        <v>91</v>
      </c>
      <c r="G287" t="s">
        <v>355</v>
      </c>
      <c r="H287" t="s">
        <v>353</v>
      </c>
      <c r="I287" t="s">
        <v>366</v>
      </c>
    </row>
    <row r="288" spans="1:9" x14ac:dyDescent="0.3">
      <c r="A288">
        <v>285</v>
      </c>
      <c r="B288" t="s">
        <v>82</v>
      </c>
      <c r="C288" s="5">
        <v>45379</v>
      </c>
      <c r="D288">
        <v>1</v>
      </c>
      <c r="E288">
        <v>12.5</v>
      </c>
      <c r="F288">
        <v>12.5</v>
      </c>
      <c r="G288" t="s">
        <v>349</v>
      </c>
      <c r="H288" t="s">
        <v>558</v>
      </c>
      <c r="I288" t="s">
        <v>364</v>
      </c>
    </row>
    <row r="289" spans="1:9" x14ac:dyDescent="0.3">
      <c r="A289">
        <v>286</v>
      </c>
      <c r="B289" t="s">
        <v>114</v>
      </c>
      <c r="C289" s="5">
        <v>44920</v>
      </c>
      <c r="D289">
        <v>7</v>
      </c>
      <c r="E289">
        <v>7</v>
      </c>
      <c r="F289">
        <v>49</v>
      </c>
      <c r="G289" t="s">
        <v>352</v>
      </c>
      <c r="H289" t="s">
        <v>353</v>
      </c>
      <c r="I289" t="s">
        <v>357</v>
      </c>
    </row>
    <row r="290" spans="1:9" x14ac:dyDescent="0.3">
      <c r="A290">
        <v>287</v>
      </c>
      <c r="B290" t="s">
        <v>206</v>
      </c>
      <c r="C290" s="5">
        <v>44395</v>
      </c>
      <c r="D290">
        <v>4</v>
      </c>
      <c r="E290">
        <v>280</v>
      </c>
      <c r="F290">
        <v>1120</v>
      </c>
      <c r="G290" t="s">
        <v>355</v>
      </c>
      <c r="H290" t="s">
        <v>559</v>
      </c>
      <c r="I290" t="s">
        <v>361</v>
      </c>
    </row>
    <row r="291" spans="1:9" x14ac:dyDescent="0.3">
      <c r="A291">
        <v>288</v>
      </c>
      <c r="B291" t="s">
        <v>51</v>
      </c>
      <c r="C291" s="5">
        <v>45399</v>
      </c>
      <c r="D291">
        <v>1</v>
      </c>
      <c r="E291">
        <v>18</v>
      </c>
      <c r="F291">
        <v>18</v>
      </c>
      <c r="G291" t="s">
        <v>352</v>
      </c>
      <c r="H291" t="s">
        <v>353</v>
      </c>
      <c r="I291" t="s">
        <v>374</v>
      </c>
    </row>
    <row r="292" spans="1:9" x14ac:dyDescent="0.3">
      <c r="A292">
        <v>289</v>
      </c>
      <c r="B292" t="s">
        <v>45</v>
      </c>
      <c r="C292" s="5">
        <v>43899</v>
      </c>
      <c r="D292">
        <v>8</v>
      </c>
      <c r="E292">
        <v>28</v>
      </c>
      <c r="F292">
        <v>224</v>
      </c>
      <c r="G292" t="s">
        <v>355</v>
      </c>
      <c r="H292" t="s">
        <v>560</v>
      </c>
      <c r="I292" t="s">
        <v>366</v>
      </c>
    </row>
    <row r="293" spans="1:9" x14ac:dyDescent="0.3">
      <c r="A293">
        <v>290</v>
      </c>
      <c r="B293" t="s">
        <v>302</v>
      </c>
      <c r="C293" s="5">
        <v>43921</v>
      </c>
      <c r="D293">
        <v>7</v>
      </c>
      <c r="E293">
        <v>22</v>
      </c>
      <c r="F293">
        <v>154</v>
      </c>
      <c r="G293" t="s">
        <v>349</v>
      </c>
      <c r="H293" t="s">
        <v>353</v>
      </c>
      <c r="I293" t="s">
        <v>366</v>
      </c>
    </row>
    <row r="294" spans="1:9" x14ac:dyDescent="0.3">
      <c r="A294">
        <v>291</v>
      </c>
      <c r="B294" t="s">
        <v>120</v>
      </c>
      <c r="C294" s="5">
        <v>45599</v>
      </c>
      <c r="D294">
        <v>1</v>
      </c>
      <c r="E294">
        <v>35</v>
      </c>
      <c r="F294">
        <v>35</v>
      </c>
      <c r="G294" t="s">
        <v>352</v>
      </c>
      <c r="H294" t="s">
        <v>561</v>
      </c>
      <c r="I294" t="s">
        <v>366</v>
      </c>
    </row>
    <row r="295" spans="1:9" x14ac:dyDescent="0.3">
      <c r="A295">
        <v>292</v>
      </c>
      <c r="B295" t="s">
        <v>185</v>
      </c>
      <c r="C295" s="5">
        <v>45010</v>
      </c>
      <c r="D295">
        <v>6</v>
      </c>
      <c r="E295">
        <v>28</v>
      </c>
      <c r="F295">
        <v>168</v>
      </c>
      <c r="G295" t="s">
        <v>355</v>
      </c>
      <c r="H295" t="s">
        <v>562</v>
      </c>
      <c r="I295" t="s">
        <v>357</v>
      </c>
    </row>
    <row r="296" spans="1:9" x14ac:dyDescent="0.3">
      <c r="A296">
        <v>293</v>
      </c>
      <c r="B296" t="s">
        <v>235</v>
      </c>
      <c r="C296" s="5">
        <v>44449</v>
      </c>
      <c r="D296">
        <v>3</v>
      </c>
      <c r="E296">
        <v>14</v>
      </c>
      <c r="F296">
        <v>42</v>
      </c>
      <c r="G296" t="s">
        <v>355</v>
      </c>
      <c r="H296" t="s">
        <v>563</v>
      </c>
      <c r="I296" t="s">
        <v>351</v>
      </c>
    </row>
    <row r="297" spans="1:9" x14ac:dyDescent="0.3">
      <c r="A297">
        <v>294</v>
      </c>
      <c r="B297" t="s">
        <v>154</v>
      </c>
      <c r="C297" s="5">
        <v>43955</v>
      </c>
      <c r="D297">
        <v>9</v>
      </c>
      <c r="E297">
        <v>35</v>
      </c>
      <c r="F297">
        <v>315</v>
      </c>
      <c r="G297" t="s">
        <v>355</v>
      </c>
      <c r="H297" t="s">
        <v>564</v>
      </c>
      <c r="I297" t="s">
        <v>361</v>
      </c>
    </row>
    <row r="298" spans="1:9" x14ac:dyDescent="0.3">
      <c r="A298">
        <v>295</v>
      </c>
      <c r="B298" t="s">
        <v>243</v>
      </c>
      <c r="C298" s="5">
        <v>44846</v>
      </c>
      <c r="D298">
        <v>1</v>
      </c>
      <c r="E298">
        <v>6.5</v>
      </c>
      <c r="F298">
        <v>6.5</v>
      </c>
      <c r="G298" t="s">
        <v>349</v>
      </c>
      <c r="H298" t="s">
        <v>565</v>
      </c>
      <c r="I298" t="s">
        <v>361</v>
      </c>
    </row>
    <row r="299" spans="1:9" x14ac:dyDescent="0.3">
      <c r="A299">
        <v>296</v>
      </c>
      <c r="B299" t="s">
        <v>276</v>
      </c>
      <c r="C299" s="5">
        <v>44483</v>
      </c>
      <c r="D299">
        <v>7</v>
      </c>
      <c r="E299">
        <v>8.5</v>
      </c>
      <c r="F299">
        <v>59.5</v>
      </c>
      <c r="G299" t="s">
        <v>349</v>
      </c>
      <c r="H299" t="s">
        <v>353</v>
      </c>
      <c r="I299" t="s">
        <v>361</v>
      </c>
    </row>
    <row r="300" spans="1:9" x14ac:dyDescent="0.3">
      <c r="A300">
        <v>297</v>
      </c>
      <c r="B300" t="s">
        <v>292</v>
      </c>
      <c r="C300" s="5">
        <v>45376</v>
      </c>
      <c r="D300">
        <v>9</v>
      </c>
      <c r="E300">
        <v>13</v>
      </c>
      <c r="F300">
        <v>117</v>
      </c>
      <c r="G300" t="s">
        <v>349</v>
      </c>
      <c r="H300" t="s">
        <v>353</v>
      </c>
      <c r="I300" t="s">
        <v>366</v>
      </c>
    </row>
    <row r="301" spans="1:9" x14ac:dyDescent="0.3">
      <c r="A301">
        <v>298</v>
      </c>
      <c r="B301" t="s">
        <v>144</v>
      </c>
      <c r="C301" s="5">
        <v>45587</v>
      </c>
      <c r="D301">
        <v>3</v>
      </c>
      <c r="E301">
        <v>20</v>
      </c>
      <c r="F301">
        <v>60</v>
      </c>
      <c r="G301" t="s">
        <v>349</v>
      </c>
      <c r="H301" t="s">
        <v>566</v>
      </c>
      <c r="I301" t="s">
        <v>361</v>
      </c>
    </row>
    <row r="302" spans="1:9" x14ac:dyDescent="0.3">
      <c r="A302">
        <v>299</v>
      </c>
      <c r="B302" t="s">
        <v>128</v>
      </c>
      <c r="C302" s="5">
        <v>44972</v>
      </c>
      <c r="D302">
        <v>9</v>
      </c>
      <c r="E302">
        <v>16</v>
      </c>
      <c r="F302">
        <v>144</v>
      </c>
      <c r="G302" t="s">
        <v>352</v>
      </c>
      <c r="H302" t="s">
        <v>567</v>
      </c>
      <c r="I302" t="s">
        <v>366</v>
      </c>
    </row>
    <row r="303" spans="1:9" x14ac:dyDescent="0.3">
      <c r="A303">
        <v>300</v>
      </c>
      <c r="B303" t="s">
        <v>171</v>
      </c>
      <c r="C303" s="5">
        <v>45155</v>
      </c>
      <c r="D303">
        <v>2</v>
      </c>
      <c r="E303">
        <v>9.5</v>
      </c>
      <c r="F303">
        <v>19</v>
      </c>
      <c r="G303" t="s">
        <v>349</v>
      </c>
      <c r="H303" t="s">
        <v>568</v>
      </c>
      <c r="I303" t="s">
        <v>364</v>
      </c>
    </row>
    <row r="304" spans="1:9" x14ac:dyDescent="0.3">
      <c r="A304">
        <v>301</v>
      </c>
      <c r="B304" t="s">
        <v>185</v>
      </c>
      <c r="C304" s="5">
        <v>45529</v>
      </c>
      <c r="D304">
        <v>4</v>
      </c>
      <c r="E304">
        <v>28</v>
      </c>
      <c r="F304">
        <v>112</v>
      </c>
      <c r="G304" t="s">
        <v>352</v>
      </c>
      <c r="H304" t="s">
        <v>353</v>
      </c>
      <c r="I304" t="s">
        <v>373</v>
      </c>
    </row>
    <row r="305" spans="1:9" x14ac:dyDescent="0.3">
      <c r="A305">
        <v>302</v>
      </c>
      <c r="B305" t="s">
        <v>45</v>
      </c>
      <c r="C305" s="5">
        <v>43911</v>
      </c>
      <c r="D305">
        <v>2</v>
      </c>
      <c r="E305">
        <v>28</v>
      </c>
      <c r="F305">
        <v>56</v>
      </c>
      <c r="G305" t="s">
        <v>352</v>
      </c>
      <c r="H305" t="s">
        <v>569</v>
      </c>
      <c r="I305" t="s">
        <v>364</v>
      </c>
    </row>
    <row r="306" spans="1:9" x14ac:dyDescent="0.3">
      <c r="A306">
        <v>303</v>
      </c>
      <c r="B306" t="s">
        <v>309</v>
      </c>
      <c r="C306" s="5">
        <v>44812</v>
      </c>
      <c r="D306">
        <v>4</v>
      </c>
      <c r="E306">
        <v>7</v>
      </c>
      <c r="F306">
        <v>28</v>
      </c>
      <c r="G306" t="s">
        <v>349</v>
      </c>
      <c r="H306" t="s">
        <v>570</v>
      </c>
      <c r="I306" t="s">
        <v>366</v>
      </c>
    </row>
    <row r="307" spans="1:9" x14ac:dyDescent="0.3">
      <c r="A307">
        <v>304</v>
      </c>
      <c r="B307" t="s">
        <v>75</v>
      </c>
      <c r="C307" s="5">
        <v>45801</v>
      </c>
      <c r="D307">
        <v>2</v>
      </c>
      <c r="E307">
        <v>10.5</v>
      </c>
      <c r="F307">
        <v>21</v>
      </c>
      <c r="G307" t="s">
        <v>355</v>
      </c>
      <c r="H307" t="s">
        <v>571</v>
      </c>
      <c r="I307" t="s">
        <v>366</v>
      </c>
    </row>
    <row r="308" spans="1:9" x14ac:dyDescent="0.3">
      <c r="A308">
        <v>305</v>
      </c>
      <c r="B308" t="s">
        <v>216</v>
      </c>
      <c r="C308" s="5">
        <v>45068</v>
      </c>
      <c r="D308">
        <v>4</v>
      </c>
      <c r="E308">
        <v>10</v>
      </c>
      <c r="F308">
        <v>40</v>
      </c>
      <c r="G308" t="s">
        <v>349</v>
      </c>
      <c r="H308" t="s">
        <v>572</v>
      </c>
      <c r="I308" t="s">
        <v>357</v>
      </c>
    </row>
    <row r="309" spans="1:9" x14ac:dyDescent="0.3">
      <c r="A309">
        <v>306</v>
      </c>
      <c r="B309" t="s">
        <v>199</v>
      </c>
      <c r="C309" s="5">
        <v>44410</v>
      </c>
      <c r="D309">
        <v>7</v>
      </c>
      <c r="E309">
        <v>3.5</v>
      </c>
      <c r="F309">
        <v>24.5</v>
      </c>
      <c r="G309" t="s">
        <v>349</v>
      </c>
      <c r="H309" t="s">
        <v>573</v>
      </c>
      <c r="I309" t="s">
        <v>351</v>
      </c>
    </row>
    <row r="310" spans="1:9" x14ac:dyDescent="0.3">
      <c r="A310">
        <v>307</v>
      </c>
      <c r="B310" t="s">
        <v>100</v>
      </c>
      <c r="C310" s="5">
        <v>44567</v>
      </c>
      <c r="D310">
        <v>9</v>
      </c>
      <c r="E310">
        <v>25</v>
      </c>
      <c r="F310">
        <v>225</v>
      </c>
      <c r="G310" t="s">
        <v>349</v>
      </c>
      <c r="H310" t="s">
        <v>574</v>
      </c>
      <c r="I310" t="s">
        <v>354</v>
      </c>
    </row>
    <row r="311" spans="1:9" x14ac:dyDescent="0.3">
      <c r="A311">
        <v>308</v>
      </c>
      <c r="B311" t="s">
        <v>120</v>
      </c>
      <c r="C311" s="5">
        <v>45550</v>
      </c>
      <c r="D311">
        <v>6</v>
      </c>
      <c r="E311">
        <v>35</v>
      </c>
      <c r="F311">
        <v>210</v>
      </c>
      <c r="G311" t="s">
        <v>352</v>
      </c>
      <c r="H311" t="s">
        <v>575</v>
      </c>
      <c r="I311" t="s">
        <v>360</v>
      </c>
    </row>
    <row r="312" spans="1:9" x14ac:dyDescent="0.3">
      <c r="A312">
        <v>309</v>
      </c>
      <c r="B312" t="s">
        <v>247</v>
      </c>
      <c r="C312" s="5">
        <v>45600</v>
      </c>
      <c r="D312">
        <v>4</v>
      </c>
      <c r="E312">
        <v>11</v>
      </c>
      <c r="F312">
        <v>44</v>
      </c>
      <c r="G312" t="s">
        <v>355</v>
      </c>
      <c r="H312" t="s">
        <v>353</v>
      </c>
      <c r="I312" t="s">
        <v>351</v>
      </c>
    </row>
    <row r="313" spans="1:9" x14ac:dyDescent="0.3">
      <c r="A313">
        <v>310</v>
      </c>
      <c r="B313" t="s">
        <v>243</v>
      </c>
      <c r="C313" s="5">
        <v>45745</v>
      </c>
      <c r="D313">
        <v>10</v>
      </c>
      <c r="E313">
        <v>6.5</v>
      </c>
      <c r="F313">
        <v>65</v>
      </c>
      <c r="G313" t="s">
        <v>355</v>
      </c>
      <c r="H313" t="s">
        <v>576</v>
      </c>
      <c r="I313" t="s">
        <v>377</v>
      </c>
    </row>
    <row r="314" spans="1:9" x14ac:dyDescent="0.3">
      <c r="A314">
        <v>311</v>
      </c>
      <c r="B314" t="s">
        <v>75</v>
      </c>
      <c r="C314" s="5">
        <v>44506</v>
      </c>
      <c r="D314">
        <v>4</v>
      </c>
      <c r="E314">
        <v>10.5</v>
      </c>
      <c r="F314">
        <v>42</v>
      </c>
      <c r="G314" t="s">
        <v>349</v>
      </c>
      <c r="H314" t="s">
        <v>577</v>
      </c>
      <c r="I314" t="s">
        <v>354</v>
      </c>
    </row>
    <row r="315" spans="1:9" x14ac:dyDescent="0.3">
      <c r="A315">
        <v>312</v>
      </c>
      <c r="B315" t="s">
        <v>243</v>
      </c>
      <c r="C315" s="5">
        <v>45171</v>
      </c>
      <c r="D315">
        <v>6</v>
      </c>
      <c r="E315">
        <v>6.5</v>
      </c>
      <c r="F315">
        <v>39</v>
      </c>
      <c r="G315" t="s">
        <v>349</v>
      </c>
      <c r="H315" t="s">
        <v>578</v>
      </c>
      <c r="I315" t="s">
        <v>354</v>
      </c>
    </row>
    <row r="316" spans="1:9" x14ac:dyDescent="0.3">
      <c r="A316">
        <v>313</v>
      </c>
      <c r="B316" t="s">
        <v>176</v>
      </c>
      <c r="C316" s="5">
        <v>44175</v>
      </c>
      <c r="D316">
        <v>6</v>
      </c>
      <c r="E316">
        <v>4</v>
      </c>
      <c r="F316">
        <v>24</v>
      </c>
      <c r="G316" t="s">
        <v>352</v>
      </c>
      <c r="H316" t="s">
        <v>353</v>
      </c>
      <c r="I316" t="s">
        <v>364</v>
      </c>
    </row>
    <row r="317" spans="1:9" x14ac:dyDescent="0.3">
      <c r="A317">
        <v>314</v>
      </c>
      <c r="B317" t="s">
        <v>33</v>
      </c>
      <c r="C317" s="5">
        <v>44207</v>
      </c>
      <c r="D317">
        <v>9</v>
      </c>
      <c r="E317">
        <v>5.5</v>
      </c>
      <c r="F317">
        <v>49.5</v>
      </c>
      <c r="G317" t="s">
        <v>355</v>
      </c>
      <c r="H317" t="s">
        <v>579</v>
      </c>
      <c r="I317" t="s">
        <v>360</v>
      </c>
    </row>
    <row r="318" spans="1:9" x14ac:dyDescent="0.3">
      <c r="A318">
        <v>315</v>
      </c>
      <c r="B318" t="s">
        <v>90</v>
      </c>
      <c r="C318" s="5">
        <v>45766</v>
      </c>
      <c r="D318">
        <v>1</v>
      </c>
      <c r="E318">
        <v>9</v>
      </c>
      <c r="F318">
        <v>9</v>
      </c>
      <c r="G318" t="s">
        <v>352</v>
      </c>
      <c r="H318" t="s">
        <v>580</v>
      </c>
      <c r="I318" t="s">
        <v>366</v>
      </c>
    </row>
    <row r="319" spans="1:9" x14ac:dyDescent="0.3">
      <c r="A319">
        <v>316</v>
      </c>
      <c r="B319" t="s">
        <v>90</v>
      </c>
      <c r="C319" s="5">
        <v>45279</v>
      </c>
      <c r="D319">
        <v>3</v>
      </c>
      <c r="E319">
        <v>9</v>
      </c>
      <c r="F319">
        <v>27</v>
      </c>
      <c r="G319" t="s">
        <v>352</v>
      </c>
      <c r="H319" t="s">
        <v>353</v>
      </c>
      <c r="I319" t="s">
        <v>354</v>
      </c>
    </row>
    <row r="320" spans="1:9" x14ac:dyDescent="0.3">
      <c r="A320">
        <v>317</v>
      </c>
      <c r="B320" t="s">
        <v>149</v>
      </c>
      <c r="C320" s="5">
        <v>43954</v>
      </c>
      <c r="D320">
        <v>10</v>
      </c>
      <c r="E320">
        <v>11.5</v>
      </c>
      <c r="F320">
        <v>115</v>
      </c>
      <c r="G320" t="s">
        <v>355</v>
      </c>
      <c r="H320" t="s">
        <v>581</v>
      </c>
      <c r="I320" t="s">
        <v>354</v>
      </c>
    </row>
    <row r="321" spans="1:9" x14ac:dyDescent="0.3">
      <c r="A321">
        <v>318</v>
      </c>
      <c r="B321" t="s">
        <v>256</v>
      </c>
      <c r="C321" s="5">
        <v>44830</v>
      </c>
      <c r="D321">
        <v>1</v>
      </c>
      <c r="E321">
        <v>32</v>
      </c>
      <c r="F321">
        <v>32</v>
      </c>
      <c r="G321" t="s">
        <v>352</v>
      </c>
      <c r="H321" t="s">
        <v>582</v>
      </c>
      <c r="I321" t="s">
        <v>360</v>
      </c>
    </row>
    <row r="322" spans="1:9" x14ac:dyDescent="0.3">
      <c r="A322">
        <v>319</v>
      </c>
      <c r="B322" t="s">
        <v>62</v>
      </c>
      <c r="C322" s="5">
        <v>44915</v>
      </c>
      <c r="D322">
        <v>5</v>
      </c>
      <c r="E322">
        <v>5</v>
      </c>
      <c r="F322">
        <v>25</v>
      </c>
      <c r="G322" t="s">
        <v>355</v>
      </c>
      <c r="H322" t="s">
        <v>583</v>
      </c>
      <c r="I322" t="s">
        <v>364</v>
      </c>
    </row>
    <row r="323" spans="1:9" x14ac:dyDescent="0.3">
      <c r="A323">
        <v>320</v>
      </c>
      <c r="B323" t="s">
        <v>216</v>
      </c>
      <c r="C323" s="5">
        <v>45211</v>
      </c>
      <c r="D323">
        <v>7</v>
      </c>
      <c r="E323">
        <v>10</v>
      </c>
      <c r="F323">
        <v>70</v>
      </c>
      <c r="G323" t="s">
        <v>352</v>
      </c>
      <c r="H323" t="s">
        <v>353</v>
      </c>
      <c r="I323" t="s">
        <v>374</v>
      </c>
    </row>
    <row r="324" spans="1:9" x14ac:dyDescent="0.3">
      <c r="A324">
        <v>321</v>
      </c>
      <c r="B324" t="s">
        <v>276</v>
      </c>
      <c r="C324" s="5">
        <v>44135</v>
      </c>
      <c r="D324">
        <v>4</v>
      </c>
      <c r="E324">
        <v>8.5</v>
      </c>
      <c r="F324">
        <v>34</v>
      </c>
      <c r="G324" t="s">
        <v>352</v>
      </c>
      <c r="H324" t="s">
        <v>584</v>
      </c>
      <c r="I324" t="s">
        <v>357</v>
      </c>
    </row>
    <row r="325" spans="1:9" x14ac:dyDescent="0.3">
      <c r="A325">
        <v>322</v>
      </c>
      <c r="B325" t="s">
        <v>154</v>
      </c>
      <c r="C325" s="5">
        <v>45459</v>
      </c>
      <c r="D325">
        <v>7</v>
      </c>
      <c r="E325">
        <v>35</v>
      </c>
      <c r="F325">
        <v>245</v>
      </c>
      <c r="G325" t="s">
        <v>352</v>
      </c>
      <c r="H325" t="s">
        <v>585</v>
      </c>
      <c r="I325" t="s">
        <v>354</v>
      </c>
    </row>
    <row r="326" spans="1:9" x14ac:dyDescent="0.3">
      <c r="A326">
        <v>323</v>
      </c>
      <c r="B326" t="s">
        <v>247</v>
      </c>
      <c r="C326" s="5">
        <v>44329</v>
      </c>
      <c r="D326">
        <v>4</v>
      </c>
      <c r="E326">
        <v>11</v>
      </c>
      <c r="F326">
        <v>44</v>
      </c>
      <c r="G326" t="s">
        <v>349</v>
      </c>
      <c r="H326" t="s">
        <v>586</v>
      </c>
      <c r="I326" t="s">
        <v>374</v>
      </c>
    </row>
    <row r="327" spans="1:9" x14ac:dyDescent="0.3">
      <c r="A327">
        <v>324</v>
      </c>
      <c r="B327" t="s">
        <v>134</v>
      </c>
      <c r="C327" s="5">
        <v>45588</v>
      </c>
      <c r="D327">
        <v>1</v>
      </c>
      <c r="E327">
        <v>38</v>
      </c>
      <c r="F327">
        <v>38</v>
      </c>
      <c r="G327" t="s">
        <v>352</v>
      </c>
      <c r="H327" t="s">
        <v>587</v>
      </c>
      <c r="I327" t="s">
        <v>364</v>
      </c>
    </row>
    <row r="328" spans="1:9" x14ac:dyDescent="0.3">
      <c r="A328">
        <v>325</v>
      </c>
      <c r="B328" t="s">
        <v>211</v>
      </c>
      <c r="C328" s="5">
        <v>43945</v>
      </c>
      <c r="D328">
        <v>1</v>
      </c>
      <c r="E328">
        <v>19</v>
      </c>
      <c r="F328">
        <v>19</v>
      </c>
      <c r="G328" t="s">
        <v>355</v>
      </c>
      <c r="H328" t="s">
        <v>353</v>
      </c>
      <c r="I328" t="s">
        <v>354</v>
      </c>
    </row>
    <row r="329" spans="1:9" x14ac:dyDescent="0.3">
      <c r="A329">
        <v>326</v>
      </c>
      <c r="B329" t="s">
        <v>114</v>
      </c>
      <c r="C329" s="5">
        <v>45151</v>
      </c>
      <c r="D329">
        <v>6</v>
      </c>
      <c r="E329">
        <v>7</v>
      </c>
      <c r="F329">
        <v>42</v>
      </c>
      <c r="G329" t="s">
        <v>355</v>
      </c>
      <c r="H329" t="s">
        <v>588</v>
      </c>
      <c r="I329" t="s">
        <v>364</v>
      </c>
    </row>
    <row r="330" spans="1:9" x14ac:dyDescent="0.3">
      <c r="A330">
        <v>327</v>
      </c>
      <c r="B330" t="s">
        <v>288</v>
      </c>
      <c r="C330" s="5">
        <v>44301</v>
      </c>
      <c r="D330">
        <v>4</v>
      </c>
      <c r="E330">
        <v>8.75</v>
      </c>
      <c r="F330">
        <v>35</v>
      </c>
      <c r="G330" t="s">
        <v>355</v>
      </c>
      <c r="H330" t="s">
        <v>589</v>
      </c>
      <c r="I330" t="s">
        <v>351</v>
      </c>
    </row>
    <row r="331" spans="1:9" x14ac:dyDescent="0.3">
      <c r="A331">
        <v>328</v>
      </c>
      <c r="B331" t="s">
        <v>288</v>
      </c>
      <c r="C331" s="5">
        <v>45723</v>
      </c>
      <c r="D331">
        <v>2</v>
      </c>
      <c r="E331">
        <v>8.75</v>
      </c>
      <c r="F331">
        <v>17.5</v>
      </c>
      <c r="G331" t="s">
        <v>355</v>
      </c>
      <c r="H331" t="s">
        <v>590</v>
      </c>
      <c r="I331" t="s">
        <v>373</v>
      </c>
    </row>
    <row r="332" spans="1:9" x14ac:dyDescent="0.3">
      <c r="A332">
        <v>329</v>
      </c>
      <c r="B332" t="s">
        <v>256</v>
      </c>
      <c r="C332" s="5">
        <v>43898</v>
      </c>
      <c r="D332">
        <v>3</v>
      </c>
      <c r="E332">
        <v>32</v>
      </c>
      <c r="F332">
        <v>96</v>
      </c>
      <c r="G332" t="s">
        <v>349</v>
      </c>
      <c r="H332" t="s">
        <v>353</v>
      </c>
      <c r="I332" t="s">
        <v>366</v>
      </c>
    </row>
    <row r="333" spans="1:9" x14ac:dyDescent="0.3">
      <c r="A333">
        <v>330</v>
      </c>
      <c r="B333" t="s">
        <v>251</v>
      </c>
      <c r="C333" s="5">
        <v>44126</v>
      </c>
      <c r="D333">
        <v>7</v>
      </c>
      <c r="E333">
        <v>22</v>
      </c>
      <c r="F333">
        <v>154</v>
      </c>
      <c r="G333" t="s">
        <v>352</v>
      </c>
      <c r="H333" t="s">
        <v>353</v>
      </c>
      <c r="I333" t="s">
        <v>373</v>
      </c>
    </row>
    <row r="334" spans="1:9" x14ac:dyDescent="0.3">
      <c r="A334">
        <v>331</v>
      </c>
      <c r="B334" t="s">
        <v>235</v>
      </c>
      <c r="C334" s="5">
        <v>44991</v>
      </c>
      <c r="D334">
        <v>7</v>
      </c>
      <c r="E334">
        <v>14</v>
      </c>
      <c r="F334">
        <v>98</v>
      </c>
      <c r="G334" t="s">
        <v>355</v>
      </c>
      <c r="H334" t="s">
        <v>591</v>
      </c>
      <c r="I334" t="s">
        <v>361</v>
      </c>
    </row>
    <row r="335" spans="1:9" x14ac:dyDescent="0.3">
      <c r="A335">
        <v>332</v>
      </c>
      <c r="B335" t="s">
        <v>120</v>
      </c>
      <c r="C335" s="5">
        <v>45345</v>
      </c>
      <c r="D335">
        <v>3</v>
      </c>
      <c r="E335">
        <v>35</v>
      </c>
      <c r="F335">
        <v>105</v>
      </c>
      <c r="G335" t="s">
        <v>355</v>
      </c>
      <c r="H335" t="s">
        <v>592</v>
      </c>
      <c r="I335" t="s">
        <v>357</v>
      </c>
    </row>
    <row r="336" spans="1:9" x14ac:dyDescent="0.3">
      <c r="A336">
        <v>333</v>
      </c>
      <c r="B336" t="s">
        <v>17</v>
      </c>
      <c r="C336" s="5">
        <v>44031</v>
      </c>
      <c r="D336">
        <v>7</v>
      </c>
      <c r="E336">
        <v>15</v>
      </c>
      <c r="F336">
        <v>105</v>
      </c>
      <c r="G336" t="s">
        <v>352</v>
      </c>
      <c r="H336" t="s">
        <v>593</v>
      </c>
      <c r="I336" t="s">
        <v>373</v>
      </c>
    </row>
    <row r="337" spans="1:9" x14ac:dyDescent="0.3">
      <c r="A337">
        <v>334</v>
      </c>
      <c r="B337" t="s">
        <v>199</v>
      </c>
      <c r="C337" s="5">
        <v>45088</v>
      </c>
      <c r="D337">
        <v>10</v>
      </c>
      <c r="E337">
        <v>3.5</v>
      </c>
      <c r="F337">
        <v>35</v>
      </c>
      <c r="G337" t="s">
        <v>349</v>
      </c>
      <c r="H337" t="s">
        <v>594</v>
      </c>
      <c r="I337" t="s">
        <v>360</v>
      </c>
    </row>
    <row r="338" spans="1:9" x14ac:dyDescent="0.3">
      <c r="A338">
        <v>335</v>
      </c>
      <c r="B338" t="s">
        <v>56</v>
      </c>
      <c r="C338" s="5">
        <v>44390</v>
      </c>
      <c r="D338">
        <v>8</v>
      </c>
      <c r="E338">
        <v>55</v>
      </c>
      <c r="F338">
        <v>440</v>
      </c>
      <c r="G338" t="s">
        <v>349</v>
      </c>
      <c r="H338" t="s">
        <v>353</v>
      </c>
      <c r="I338" t="s">
        <v>364</v>
      </c>
    </row>
    <row r="339" spans="1:9" x14ac:dyDescent="0.3">
      <c r="A339">
        <v>336</v>
      </c>
      <c r="B339" t="s">
        <v>195</v>
      </c>
      <c r="C339" s="5">
        <v>44715</v>
      </c>
      <c r="D339">
        <v>3</v>
      </c>
      <c r="E339">
        <v>3.5</v>
      </c>
      <c r="F339">
        <v>10.5</v>
      </c>
      <c r="G339" t="s">
        <v>355</v>
      </c>
      <c r="H339" t="s">
        <v>595</v>
      </c>
      <c r="I339" t="s">
        <v>374</v>
      </c>
    </row>
    <row r="340" spans="1:9" x14ac:dyDescent="0.3">
      <c r="A340">
        <v>337</v>
      </c>
      <c r="B340" t="s">
        <v>199</v>
      </c>
      <c r="C340" s="5">
        <v>45097</v>
      </c>
      <c r="D340">
        <v>5</v>
      </c>
      <c r="E340">
        <v>3.5</v>
      </c>
      <c r="F340">
        <v>17.5</v>
      </c>
      <c r="G340" t="s">
        <v>352</v>
      </c>
      <c r="H340" t="s">
        <v>596</v>
      </c>
      <c r="I340" t="s">
        <v>351</v>
      </c>
    </row>
    <row r="341" spans="1:9" x14ac:dyDescent="0.3">
      <c r="A341">
        <v>338</v>
      </c>
      <c r="B341" t="s">
        <v>206</v>
      </c>
      <c r="C341" s="5">
        <v>44609</v>
      </c>
      <c r="D341">
        <v>3</v>
      </c>
      <c r="E341">
        <v>280</v>
      </c>
      <c r="F341">
        <v>840</v>
      </c>
      <c r="G341" t="s">
        <v>355</v>
      </c>
      <c r="H341" t="s">
        <v>597</v>
      </c>
      <c r="I341" t="s">
        <v>374</v>
      </c>
    </row>
    <row r="342" spans="1:9" x14ac:dyDescent="0.3">
      <c r="A342">
        <v>339</v>
      </c>
      <c r="B342" t="s">
        <v>124</v>
      </c>
      <c r="C342" s="5">
        <v>43841</v>
      </c>
      <c r="D342">
        <v>5</v>
      </c>
      <c r="E342">
        <v>22</v>
      </c>
      <c r="F342">
        <v>110</v>
      </c>
      <c r="G342" t="s">
        <v>349</v>
      </c>
      <c r="H342" t="s">
        <v>598</v>
      </c>
      <c r="I342" t="s">
        <v>374</v>
      </c>
    </row>
    <row r="343" spans="1:9" x14ac:dyDescent="0.3">
      <c r="A343">
        <v>340</v>
      </c>
      <c r="B343" t="s">
        <v>70</v>
      </c>
      <c r="C343" s="5">
        <v>44009</v>
      </c>
      <c r="D343">
        <v>3</v>
      </c>
      <c r="E343">
        <v>11</v>
      </c>
      <c r="F343">
        <v>33</v>
      </c>
      <c r="G343" t="s">
        <v>349</v>
      </c>
      <c r="H343" t="s">
        <v>599</v>
      </c>
      <c r="I343" t="s">
        <v>364</v>
      </c>
    </row>
    <row r="344" spans="1:9" x14ac:dyDescent="0.3">
      <c r="A344">
        <v>341</v>
      </c>
      <c r="B344" t="s">
        <v>128</v>
      </c>
      <c r="C344" s="5">
        <v>44042</v>
      </c>
      <c r="D344">
        <v>1</v>
      </c>
      <c r="E344">
        <v>16</v>
      </c>
      <c r="F344">
        <v>16</v>
      </c>
      <c r="G344" t="s">
        <v>352</v>
      </c>
      <c r="H344" t="s">
        <v>600</v>
      </c>
      <c r="I344" t="s">
        <v>373</v>
      </c>
    </row>
    <row r="345" spans="1:9" x14ac:dyDescent="0.3">
      <c r="A345">
        <v>342</v>
      </c>
      <c r="B345" t="s">
        <v>45</v>
      </c>
      <c r="C345" s="5">
        <v>45437</v>
      </c>
      <c r="D345">
        <v>6</v>
      </c>
      <c r="E345">
        <v>28</v>
      </c>
      <c r="F345">
        <v>168</v>
      </c>
      <c r="G345" t="s">
        <v>349</v>
      </c>
      <c r="H345" t="s">
        <v>353</v>
      </c>
      <c r="I345" t="s">
        <v>361</v>
      </c>
    </row>
    <row r="346" spans="1:9" x14ac:dyDescent="0.3">
      <c r="A346">
        <v>343</v>
      </c>
      <c r="B346" t="s">
        <v>195</v>
      </c>
      <c r="C346" s="5">
        <v>45426</v>
      </c>
      <c r="D346">
        <v>2</v>
      </c>
      <c r="E346">
        <v>3.5</v>
      </c>
      <c r="F346">
        <v>7</v>
      </c>
      <c r="G346" t="s">
        <v>355</v>
      </c>
      <c r="H346" t="s">
        <v>601</v>
      </c>
      <c r="I346" t="s">
        <v>373</v>
      </c>
    </row>
    <row r="347" spans="1:9" x14ac:dyDescent="0.3">
      <c r="A347">
        <v>344</v>
      </c>
      <c r="B347" t="s">
        <v>276</v>
      </c>
      <c r="C347" s="5">
        <v>44178</v>
      </c>
      <c r="D347">
        <v>7</v>
      </c>
      <c r="E347">
        <v>8.5</v>
      </c>
      <c r="F347">
        <v>59.5</v>
      </c>
      <c r="G347" t="s">
        <v>352</v>
      </c>
      <c r="H347" t="s">
        <v>353</v>
      </c>
      <c r="I347" t="s">
        <v>351</v>
      </c>
    </row>
    <row r="348" spans="1:9" x14ac:dyDescent="0.3">
      <c r="A348">
        <v>345</v>
      </c>
      <c r="B348" t="s">
        <v>154</v>
      </c>
      <c r="C348" s="5">
        <v>44840</v>
      </c>
      <c r="D348">
        <v>3</v>
      </c>
      <c r="E348">
        <v>35</v>
      </c>
      <c r="F348">
        <v>105</v>
      </c>
      <c r="G348" t="s">
        <v>352</v>
      </c>
      <c r="H348" t="s">
        <v>353</v>
      </c>
      <c r="I348" t="s">
        <v>351</v>
      </c>
    </row>
    <row r="349" spans="1:9" x14ac:dyDescent="0.3">
      <c r="A349">
        <v>346</v>
      </c>
      <c r="B349" t="s">
        <v>128</v>
      </c>
      <c r="C349" s="5">
        <v>44444</v>
      </c>
      <c r="D349">
        <v>8</v>
      </c>
      <c r="E349">
        <v>16</v>
      </c>
      <c r="F349">
        <v>128</v>
      </c>
      <c r="G349" t="s">
        <v>352</v>
      </c>
      <c r="H349" t="s">
        <v>602</v>
      </c>
      <c r="I349" t="s">
        <v>354</v>
      </c>
    </row>
    <row r="350" spans="1:9" x14ac:dyDescent="0.3">
      <c r="A350">
        <v>347</v>
      </c>
      <c r="B350" t="s">
        <v>45</v>
      </c>
      <c r="C350" s="5">
        <v>45093</v>
      </c>
      <c r="D350">
        <v>4</v>
      </c>
      <c r="E350">
        <v>28</v>
      </c>
      <c r="F350">
        <v>112</v>
      </c>
      <c r="G350" t="s">
        <v>349</v>
      </c>
      <c r="H350" t="s">
        <v>353</v>
      </c>
      <c r="I350" t="s">
        <v>351</v>
      </c>
    </row>
    <row r="351" spans="1:9" x14ac:dyDescent="0.3">
      <c r="A351">
        <v>348</v>
      </c>
      <c r="B351" t="s">
        <v>82</v>
      </c>
      <c r="C351" s="5">
        <v>45774</v>
      </c>
      <c r="D351">
        <v>7</v>
      </c>
      <c r="E351">
        <v>12.5</v>
      </c>
      <c r="F351">
        <v>87.5</v>
      </c>
      <c r="G351" t="s">
        <v>349</v>
      </c>
      <c r="H351" t="s">
        <v>603</v>
      </c>
      <c r="I351" t="s">
        <v>357</v>
      </c>
    </row>
    <row r="352" spans="1:9" x14ac:dyDescent="0.3">
      <c r="A352">
        <v>349</v>
      </c>
      <c r="B352" t="s">
        <v>160</v>
      </c>
      <c r="C352" s="5">
        <v>44516</v>
      </c>
      <c r="D352">
        <v>7</v>
      </c>
      <c r="E352">
        <v>85</v>
      </c>
      <c r="F352">
        <v>595</v>
      </c>
      <c r="G352" t="s">
        <v>355</v>
      </c>
      <c r="H352" t="s">
        <v>604</v>
      </c>
      <c r="I352" t="s">
        <v>351</v>
      </c>
    </row>
    <row r="353" spans="1:9" x14ac:dyDescent="0.3">
      <c r="A353">
        <v>350</v>
      </c>
      <c r="B353" t="s">
        <v>297</v>
      </c>
      <c r="C353" s="5">
        <v>45066</v>
      </c>
      <c r="D353">
        <v>4</v>
      </c>
      <c r="E353">
        <v>8</v>
      </c>
      <c r="F353">
        <v>32</v>
      </c>
      <c r="G353" t="s">
        <v>349</v>
      </c>
      <c r="H353" t="s">
        <v>605</v>
      </c>
      <c r="I353" t="s">
        <v>357</v>
      </c>
    </row>
    <row r="354" spans="1:9" x14ac:dyDescent="0.3">
      <c r="A354">
        <v>351</v>
      </c>
      <c r="B354" t="s">
        <v>139</v>
      </c>
      <c r="C354" s="5">
        <v>45336</v>
      </c>
      <c r="D354">
        <v>8</v>
      </c>
      <c r="E354">
        <v>6</v>
      </c>
      <c r="F354">
        <v>48</v>
      </c>
      <c r="G354" t="s">
        <v>355</v>
      </c>
      <c r="H354" t="s">
        <v>606</v>
      </c>
      <c r="I354" t="s">
        <v>361</v>
      </c>
    </row>
    <row r="355" spans="1:9" x14ac:dyDescent="0.3">
      <c r="A355">
        <v>352</v>
      </c>
      <c r="B355" t="s">
        <v>154</v>
      </c>
      <c r="C355" s="5">
        <v>45503</v>
      </c>
      <c r="D355">
        <v>7</v>
      </c>
      <c r="E355">
        <v>35</v>
      </c>
      <c r="F355">
        <v>245</v>
      </c>
      <c r="G355" t="s">
        <v>349</v>
      </c>
      <c r="H355" t="s">
        <v>353</v>
      </c>
      <c r="I355" t="s">
        <v>373</v>
      </c>
    </row>
    <row r="356" spans="1:9" x14ac:dyDescent="0.3">
      <c r="A356">
        <v>353</v>
      </c>
      <c r="B356" t="s">
        <v>75</v>
      </c>
      <c r="C356" s="5">
        <v>45043</v>
      </c>
      <c r="D356">
        <v>9</v>
      </c>
      <c r="E356">
        <v>10.5</v>
      </c>
      <c r="F356">
        <v>94.5</v>
      </c>
      <c r="G356" t="s">
        <v>352</v>
      </c>
      <c r="H356" t="s">
        <v>607</v>
      </c>
      <c r="I356" t="s">
        <v>360</v>
      </c>
    </row>
    <row r="357" spans="1:9" x14ac:dyDescent="0.3">
      <c r="A357">
        <v>354</v>
      </c>
      <c r="B357" t="s">
        <v>185</v>
      </c>
      <c r="C357" s="5">
        <v>44776</v>
      </c>
      <c r="D357">
        <v>4</v>
      </c>
      <c r="E357">
        <v>28</v>
      </c>
      <c r="F357">
        <v>112</v>
      </c>
      <c r="G357" t="s">
        <v>349</v>
      </c>
      <c r="H357" t="s">
        <v>608</v>
      </c>
      <c r="I357" t="s">
        <v>374</v>
      </c>
    </row>
    <row r="358" spans="1:9" x14ac:dyDescent="0.3">
      <c r="A358">
        <v>355</v>
      </c>
      <c r="B358" t="s">
        <v>128</v>
      </c>
      <c r="C358" s="5">
        <v>45209</v>
      </c>
      <c r="D358">
        <v>8</v>
      </c>
      <c r="E358">
        <v>16</v>
      </c>
      <c r="F358">
        <v>128</v>
      </c>
      <c r="G358" t="s">
        <v>352</v>
      </c>
      <c r="H358" t="s">
        <v>609</v>
      </c>
      <c r="I358" t="s">
        <v>351</v>
      </c>
    </row>
    <row r="359" spans="1:9" x14ac:dyDescent="0.3">
      <c r="A359">
        <v>356</v>
      </c>
      <c r="B359" t="s">
        <v>256</v>
      </c>
      <c r="C359" s="5">
        <v>44146</v>
      </c>
      <c r="D359">
        <v>7</v>
      </c>
      <c r="E359">
        <v>32</v>
      </c>
      <c r="F359">
        <v>224</v>
      </c>
      <c r="G359" t="s">
        <v>349</v>
      </c>
      <c r="H359" t="s">
        <v>353</v>
      </c>
      <c r="I359" t="s">
        <v>373</v>
      </c>
    </row>
    <row r="360" spans="1:9" x14ac:dyDescent="0.3">
      <c r="A360">
        <v>357</v>
      </c>
      <c r="B360" t="s">
        <v>211</v>
      </c>
      <c r="C360" s="5">
        <v>45023</v>
      </c>
      <c r="D360">
        <v>7</v>
      </c>
      <c r="E360">
        <v>19</v>
      </c>
      <c r="F360">
        <v>133</v>
      </c>
      <c r="G360" t="s">
        <v>355</v>
      </c>
      <c r="H360" t="s">
        <v>610</v>
      </c>
      <c r="I360" t="s">
        <v>361</v>
      </c>
    </row>
    <row r="361" spans="1:9" x14ac:dyDescent="0.3">
      <c r="A361">
        <v>358</v>
      </c>
      <c r="B361" t="s">
        <v>39</v>
      </c>
      <c r="C361" s="5">
        <v>43906</v>
      </c>
      <c r="D361">
        <v>6</v>
      </c>
      <c r="E361">
        <v>4.5</v>
      </c>
      <c r="F361">
        <v>27</v>
      </c>
      <c r="G361" t="s">
        <v>355</v>
      </c>
      <c r="H361" t="s">
        <v>611</v>
      </c>
      <c r="I361" t="s">
        <v>373</v>
      </c>
    </row>
    <row r="362" spans="1:9" x14ac:dyDescent="0.3">
      <c r="A362">
        <v>359</v>
      </c>
      <c r="B362" t="s">
        <v>56</v>
      </c>
      <c r="C362" s="5">
        <v>45703</v>
      </c>
      <c r="D362">
        <v>2</v>
      </c>
      <c r="E362">
        <v>55</v>
      </c>
      <c r="F362">
        <v>110</v>
      </c>
      <c r="G362" t="s">
        <v>352</v>
      </c>
      <c r="H362" t="s">
        <v>612</v>
      </c>
      <c r="I362" t="s">
        <v>357</v>
      </c>
    </row>
    <row r="363" spans="1:9" x14ac:dyDescent="0.3">
      <c r="A363">
        <v>360</v>
      </c>
      <c r="B363" t="s">
        <v>164</v>
      </c>
      <c r="C363" s="5">
        <v>45156</v>
      </c>
      <c r="D363">
        <v>10</v>
      </c>
      <c r="E363">
        <v>45</v>
      </c>
      <c r="F363">
        <v>450</v>
      </c>
      <c r="G363" t="s">
        <v>352</v>
      </c>
      <c r="H363" t="s">
        <v>613</v>
      </c>
      <c r="I363" t="s">
        <v>361</v>
      </c>
    </row>
    <row r="364" spans="1:9" x14ac:dyDescent="0.3">
      <c r="A364">
        <v>361</v>
      </c>
      <c r="B364" t="s">
        <v>120</v>
      </c>
      <c r="C364" s="5">
        <v>44510</v>
      </c>
      <c r="D364">
        <v>7</v>
      </c>
      <c r="E364">
        <v>35</v>
      </c>
      <c r="F364">
        <v>245</v>
      </c>
      <c r="G364" t="s">
        <v>352</v>
      </c>
      <c r="H364" t="s">
        <v>353</v>
      </c>
      <c r="I364" t="s">
        <v>351</v>
      </c>
    </row>
    <row r="365" spans="1:9" x14ac:dyDescent="0.3">
      <c r="A365">
        <v>362</v>
      </c>
      <c r="B365" t="s">
        <v>26</v>
      </c>
      <c r="C365" s="5">
        <v>44876</v>
      </c>
      <c r="D365">
        <v>9</v>
      </c>
      <c r="E365">
        <v>18</v>
      </c>
      <c r="F365">
        <v>162</v>
      </c>
      <c r="G365" t="s">
        <v>355</v>
      </c>
      <c r="H365" t="s">
        <v>614</v>
      </c>
      <c r="I365" t="s">
        <v>366</v>
      </c>
    </row>
    <row r="366" spans="1:9" x14ac:dyDescent="0.3">
      <c r="A366">
        <v>363</v>
      </c>
      <c r="B366" t="s">
        <v>160</v>
      </c>
      <c r="C366" s="5">
        <v>44597</v>
      </c>
      <c r="D366">
        <v>7</v>
      </c>
      <c r="E366">
        <v>85</v>
      </c>
      <c r="F366">
        <v>595</v>
      </c>
      <c r="G366" t="s">
        <v>349</v>
      </c>
      <c r="H366" t="s">
        <v>615</v>
      </c>
      <c r="I366" t="s">
        <v>364</v>
      </c>
    </row>
    <row r="367" spans="1:9" x14ac:dyDescent="0.3">
      <c r="A367">
        <v>364</v>
      </c>
      <c r="B367" t="s">
        <v>206</v>
      </c>
      <c r="C367" s="5">
        <v>44537</v>
      </c>
      <c r="D367">
        <v>1</v>
      </c>
      <c r="E367">
        <v>280</v>
      </c>
      <c r="F367">
        <v>280</v>
      </c>
      <c r="G367" t="s">
        <v>349</v>
      </c>
      <c r="H367" t="s">
        <v>353</v>
      </c>
      <c r="I367" t="s">
        <v>361</v>
      </c>
    </row>
    <row r="368" spans="1:9" x14ac:dyDescent="0.3">
      <c r="A368">
        <v>365</v>
      </c>
      <c r="B368" t="s">
        <v>124</v>
      </c>
      <c r="C368" s="5">
        <v>44068</v>
      </c>
      <c r="D368">
        <v>3</v>
      </c>
      <c r="E368">
        <v>22</v>
      </c>
      <c r="F368">
        <v>66</v>
      </c>
      <c r="G368" t="s">
        <v>349</v>
      </c>
      <c r="H368" t="s">
        <v>616</v>
      </c>
      <c r="I368" t="s">
        <v>366</v>
      </c>
    </row>
    <row r="369" spans="1:9" x14ac:dyDescent="0.3">
      <c r="A369">
        <v>366</v>
      </c>
      <c r="B369" t="s">
        <v>276</v>
      </c>
      <c r="C369" s="5">
        <v>44820</v>
      </c>
      <c r="D369">
        <v>6</v>
      </c>
      <c r="E369">
        <v>8.5</v>
      </c>
      <c r="F369">
        <v>51</v>
      </c>
      <c r="G369" t="s">
        <v>349</v>
      </c>
      <c r="H369" t="s">
        <v>353</v>
      </c>
      <c r="I369" t="s">
        <v>354</v>
      </c>
    </row>
    <row r="370" spans="1:9" x14ac:dyDescent="0.3">
      <c r="A370">
        <v>367</v>
      </c>
      <c r="B370" t="s">
        <v>297</v>
      </c>
      <c r="C370" s="5">
        <v>43968</v>
      </c>
      <c r="D370">
        <v>5</v>
      </c>
      <c r="E370">
        <v>8</v>
      </c>
      <c r="F370">
        <v>40</v>
      </c>
      <c r="G370" t="s">
        <v>352</v>
      </c>
      <c r="H370" t="s">
        <v>617</v>
      </c>
      <c r="I370" t="s">
        <v>360</v>
      </c>
    </row>
    <row r="371" spans="1:9" x14ac:dyDescent="0.3">
      <c r="A371">
        <v>368</v>
      </c>
      <c r="B371" t="s">
        <v>171</v>
      </c>
      <c r="C371" s="5">
        <v>45158</v>
      </c>
      <c r="D371">
        <v>2</v>
      </c>
      <c r="E371">
        <v>9.5</v>
      </c>
      <c r="F371">
        <v>19</v>
      </c>
      <c r="G371" t="s">
        <v>355</v>
      </c>
      <c r="H371" t="s">
        <v>618</v>
      </c>
      <c r="I371" t="s">
        <v>366</v>
      </c>
    </row>
    <row r="372" spans="1:9" x14ac:dyDescent="0.3">
      <c r="A372">
        <v>369</v>
      </c>
      <c r="B372" t="s">
        <v>276</v>
      </c>
      <c r="C372" s="5">
        <v>44188</v>
      </c>
      <c r="D372">
        <v>9</v>
      </c>
      <c r="E372">
        <v>8.5</v>
      </c>
      <c r="F372">
        <v>76.5</v>
      </c>
      <c r="G372" t="s">
        <v>352</v>
      </c>
      <c r="H372" t="s">
        <v>619</v>
      </c>
      <c r="I372" t="s">
        <v>354</v>
      </c>
    </row>
    <row r="373" spans="1:9" x14ac:dyDescent="0.3">
      <c r="A373">
        <v>370</v>
      </c>
      <c r="B373" t="s">
        <v>26</v>
      </c>
      <c r="C373" s="5">
        <v>45464</v>
      </c>
      <c r="D373">
        <v>7</v>
      </c>
      <c r="E373">
        <v>18</v>
      </c>
      <c r="F373">
        <v>126</v>
      </c>
      <c r="G373" t="s">
        <v>355</v>
      </c>
      <c r="H373" t="s">
        <v>353</v>
      </c>
      <c r="I373" t="s">
        <v>361</v>
      </c>
    </row>
    <row r="374" spans="1:9" x14ac:dyDescent="0.3">
      <c r="A374">
        <v>371</v>
      </c>
      <c r="B374" t="s">
        <v>109</v>
      </c>
      <c r="C374" s="5">
        <v>43890</v>
      </c>
      <c r="D374">
        <v>10</v>
      </c>
      <c r="E374">
        <v>30</v>
      </c>
      <c r="F374">
        <v>300</v>
      </c>
      <c r="G374" t="s">
        <v>352</v>
      </c>
      <c r="H374" t="s">
        <v>620</v>
      </c>
      <c r="I374" t="s">
        <v>361</v>
      </c>
    </row>
    <row r="375" spans="1:9" x14ac:dyDescent="0.3">
      <c r="A375">
        <v>372</v>
      </c>
      <c r="B375" t="s">
        <v>82</v>
      </c>
      <c r="C375" s="5">
        <v>45274</v>
      </c>
      <c r="D375">
        <v>4</v>
      </c>
      <c r="E375">
        <v>12.5</v>
      </c>
      <c r="F375">
        <v>50</v>
      </c>
      <c r="G375" t="s">
        <v>352</v>
      </c>
      <c r="H375" t="s">
        <v>353</v>
      </c>
      <c r="I375" t="s">
        <v>374</v>
      </c>
    </row>
    <row r="376" spans="1:9" x14ac:dyDescent="0.3">
      <c r="A376">
        <v>373</v>
      </c>
      <c r="B376" t="s">
        <v>247</v>
      </c>
      <c r="C376" s="5">
        <v>44039</v>
      </c>
      <c r="D376">
        <v>9</v>
      </c>
      <c r="E376">
        <v>11</v>
      </c>
      <c r="F376">
        <v>99</v>
      </c>
      <c r="G376" t="s">
        <v>352</v>
      </c>
      <c r="H376" t="s">
        <v>621</v>
      </c>
      <c r="I376" t="s">
        <v>354</v>
      </c>
    </row>
    <row r="377" spans="1:9" x14ac:dyDescent="0.3">
      <c r="A377">
        <v>374</v>
      </c>
      <c r="B377" t="s">
        <v>230</v>
      </c>
      <c r="C377" s="5">
        <v>44368</v>
      </c>
      <c r="D377">
        <v>8</v>
      </c>
      <c r="E377">
        <v>4.5</v>
      </c>
      <c r="F377">
        <v>36</v>
      </c>
      <c r="G377" t="s">
        <v>355</v>
      </c>
      <c r="H377" t="s">
        <v>622</v>
      </c>
      <c r="I377" t="s">
        <v>373</v>
      </c>
    </row>
    <row r="378" spans="1:9" x14ac:dyDescent="0.3">
      <c r="A378">
        <v>375</v>
      </c>
      <c r="B378" t="s">
        <v>195</v>
      </c>
      <c r="C378" s="5">
        <v>45082</v>
      </c>
      <c r="D378">
        <v>7</v>
      </c>
      <c r="E378">
        <v>3.5</v>
      </c>
      <c r="F378">
        <v>24.5</v>
      </c>
      <c r="G378" t="s">
        <v>355</v>
      </c>
      <c r="H378" t="s">
        <v>353</v>
      </c>
      <c r="I378" t="s">
        <v>357</v>
      </c>
    </row>
    <row r="379" spans="1:9" x14ac:dyDescent="0.3">
      <c r="A379">
        <v>376</v>
      </c>
      <c r="B379" t="s">
        <v>176</v>
      </c>
      <c r="C379" s="5">
        <v>45095</v>
      </c>
      <c r="D379">
        <v>3</v>
      </c>
      <c r="E379">
        <v>4</v>
      </c>
      <c r="F379">
        <v>12</v>
      </c>
      <c r="G379" t="s">
        <v>355</v>
      </c>
      <c r="H379" t="s">
        <v>623</v>
      </c>
      <c r="I379" t="s">
        <v>373</v>
      </c>
    </row>
    <row r="380" spans="1:9" x14ac:dyDescent="0.3">
      <c r="A380">
        <v>377</v>
      </c>
      <c r="B380" t="s">
        <v>251</v>
      </c>
      <c r="C380" s="5">
        <v>44004</v>
      </c>
      <c r="D380">
        <v>3</v>
      </c>
      <c r="E380">
        <v>22</v>
      </c>
      <c r="F380">
        <v>66</v>
      </c>
      <c r="G380" t="s">
        <v>349</v>
      </c>
      <c r="H380" t="s">
        <v>353</v>
      </c>
      <c r="I380" t="s">
        <v>351</v>
      </c>
    </row>
    <row r="381" spans="1:9" x14ac:dyDescent="0.3">
      <c r="A381">
        <v>378</v>
      </c>
      <c r="B381" t="s">
        <v>230</v>
      </c>
      <c r="C381" s="5">
        <v>44205</v>
      </c>
      <c r="D381">
        <v>6</v>
      </c>
      <c r="E381">
        <v>4.5</v>
      </c>
      <c r="F381">
        <v>27</v>
      </c>
      <c r="G381" t="s">
        <v>355</v>
      </c>
      <c r="H381" t="s">
        <v>353</v>
      </c>
      <c r="I381" t="s">
        <v>361</v>
      </c>
    </row>
    <row r="382" spans="1:9" x14ac:dyDescent="0.3">
      <c r="A382">
        <v>379</v>
      </c>
      <c r="B382" t="s">
        <v>128</v>
      </c>
      <c r="C382" s="5">
        <v>45052</v>
      </c>
      <c r="D382">
        <v>3</v>
      </c>
      <c r="E382">
        <v>16</v>
      </c>
      <c r="F382">
        <v>48</v>
      </c>
      <c r="G382" t="s">
        <v>355</v>
      </c>
      <c r="H382" t="s">
        <v>624</v>
      </c>
      <c r="I382" t="s">
        <v>354</v>
      </c>
    </row>
    <row r="383" spans="1:9" x14ac:dyDescent="0.3">
      <c r="A383">
        <v>380</v>
      </c>
      <c r="B383" t="s">
        <v>56</v>
      </c>
      <c r="C383" s="5">
        <v>44931</v>
      </c>
      <c r="D383">
        <v>3</v>
      </c>
      <c r="E383">
        <v>55</v>
      </c>
      <c r="F383">
        <v>165</v>
      </c>
      <c r="G383" t="s">
        <v>355</v>
      </c>
      <c r="H383" t="s">
        <v>353</v>
      </c>
      <c r="I383" t="s">
        <v>351</v>
      </c>
    </row>
    <row r="384" spans="1:9" x14ac:dyDescent="0.3">
      <c r="A384">
        <v>381</v>
      </c>
      <c r="B384" t="s">
        <v>70</v>
      </c>
      <c r="C384" s="5">
        <v>44214</v>
      </c>
      <c r="D384">
        <v>6</v>
      </c>
      <c r="E384">
        <v>11</v>
      </c>
      <c r="F384">
        <v>66</v>
      </c>
      <c r="G384" t="s">
        <v>349</v>
      </c>
      <c r="H384" t="s">
        <v>625</v>
      </c>
      <c r="I384" t="s">
        <v>360</v>
      </c>
    </row>
    <row r="385" spans="1:9" x14ac:dyDescent="0.3">
      <c r="A385">
        <v>382</v>
      </c>
      <c r="B385" t="s">
        <v>33</v>
      </c>
      <c r="C385" s="5">
        <v>44110</v>
      </c>
      <c r="D385">
        <v>4</v>
      </c>
      <c r="E385">
        <v>5.5</v>
      </c>
      <c r="F385">
        <v>22</v>
      </c>
      <c r="G385" t="s">
        <v>349</v>
      </c>
      <c r="H385" t="s">
        <v>626</v>
      </c>
      <c r="I385" t="s">
        <v>354</v>
      </c>
    </row>
    <row r="386" spans="1:9" x14ac:dyDescent="0.3">
      <c r="A386">
        <v>383</v>
      </c>
      <c r="B386" t="s">
        <v>128</v>
      </c>
      <c r="C386" s="5">
        <v>45233</v>
      </c>
      <c r="D386">
        <v>8</v>
      </c>
      <c r="E386">
        <v>16</v>
      </c>
      <c r="F386">
        <v>128</v>
      </c>
      <c r="G386" t="s">
        <v>349</v>
      </c>
      <c r="H386" t="s">
        <v>627</v>
      </c>
      <c r="I386" t="s">
        <v>354</v>
      </c>
    </row>
    <row r="387" spans="1:9" x14ac:dyDescent="0.3">
      <c r="A387">
        <v>384</v>
      </c>
      <c r="B387" t="s">
        <v>164</v>
      </c>
      <c r="C387" s="5">
        <v>44000</v>
      </c>
      <c r="D387">
        <v>10</v>
      </c>
      <c r="E387">
        <v>45</v>
      </c>
      <c r="F387">
        <v>450</v>
      </c>
      <c r="G387" t="s">
        <v>352</v>
      </c>
      <c r="H387" t="s">
        <v>628</v>
      </c>
      <c r="I387" t="s">
        <v>351</v>
      </c>
    </row>
    <row r="388" spans="1:9" x14ac:dyDescent="0.3">
      <c r="A388">
        <v>385</v>
      </c>
      <c r="B388" t="s">
        <v>288</v>
      </c>
      <c r="C388" s="5">
        <v>44393</v>
      </c>
      <c r="D388">
        <v>4</v>
      </c>
      <c r="E388">
        <v>8.75</v>
      </c>
      <c r="F388">
        <v>35</v>
      </c>
      <c r="G388" t="s">
        <v>355</v>
      </c>
      <c r="H388" t="s">
        <v>353</v>
      </c>
      <c r="I388" t="s">
        <v>354</v>
      </c>
    </row>
    <row r="389" spans="1:9" x14ac:dyDescent="0.3">
      <c r="A389">
        <v>386</v>
      </c>
      <c r="B389" t="s">
        <v>247</v>
      </c>
      <c r="C389" s="5">
        <v>45351</v>
      </c>
      <c r="D389">
        <v>8</v>
      </c>
      <c r="E389">
        <v>11</v>
      </c>
      <c r="F389">
        <v>88</v>
      </c>
      <c r="G389" t="s">
        <v>355</v>
      </c>
      <c r="H389" t="s">
        <v>629</v>
      </c>
      <c r="I389" t="s">
        <v>374</v>
      </c>
    </row>
    <row r="390" spans="1:9" x14ac:dyDescent="0.3">
      <c r="A390">
        <v>387</v>
      </c>
      <c r="B390" t="s">
        <v>154</v>
      </c>
      <c r="C390" s="5">
        <v>45418</v>
      </c>
      <c r="D390">
        <v>9</v>
      </c>
      <c r="E390">
        <v>35</v>
      </c>
      <c r="F390">
        <v>315</v>
      </c>
      <c r="G390" t="s">
        <v>349</v>
      </c>
      <c r="H390" t="s">
        <v>630</v>
      </c>
      <c r="I390" t="s">
        <v>360</v>
      </c>
    </row>
    <row r="391" spans="1:9" x14ac:dyDescent="0.3">
      <c r="A391">
        <v>388</v>
      </c>
      <c r="B391" t="s">
        <v>120</v>
      </c>
      <c r="C391" s="5">
        <v>45303</v>
      </c>
      <c r="D391">
        <v>8</v>
      </c>
      <c r="E391">
        <v>35</v>
      </c>
      <c r="F391">
        <v>280</v>
      </c>
      <c r="G391" t="s">
        <v>355</v>
      </c>
      <c r="H391" t="s">
        <v>353</v>
      </c>
      <c r="I391" t="s">
        <v>361</v>
      </c>
    </row>
    <row r="392" spans="1:9" x14ac:dyDescent="0.3">
      <c r="A392">
        <v>389</v>
      </c>
      <c r="B392" t="s">
        <v>94</v>
      </c>
      <c r="C392" s="5">
        <v>45338</v>
      </c>
      <c r="D392">
        <v>4</v>
      </c>
      <c r="E392">
        <v>6.5</v>
      </c>
      <c r="F392">
        <v>26</v>
      </c>
      <c r="G392" t="s">
        <v>349</v>
      </c>
      <c r="H392" t="s">
        <v>631</v>
      </c>
      <c r="I392" t="s">
        <v>354</v>
      </c>
    </row>
    <row r="393" spans="1:9" x14ac:dyDescent="0.3">
      <c r="A393">
        <v>390</v>
      </c>
      <c r="B393" t="s">
        <v>100</v>
      </c>
      <c r="C393" s="5">
        <v>44544</v>
      </c>
      <c r="D393">
        <v>2</v>
      </c>
      <c r="E393">
        <v>25</v>
      </c>
      <c r="F393">
        <v>50</v>
      </c>
      <c r="G393" t="s">
        <v>349</v>
      </c>
      <c r="H393" t="s">
        <v>632</v>
      </c>
      <c r="I393" t="s">
        <v>366</v>
      </c>
    </row>
    <row r="394" spans="1:9" x14ac:dyDescent="0.3">
      <c r="A394">
        <v>391</v>
      </c>
      <c r="B394" t="s">
        <v>309</v>
      </c>
      <c r="C394" s="5">
        <v>45491</v>
      </c>
      <c r="D394">
        <v>10</v>
      </c>
      <c r="E394">
        <v>7</v>
      </c>
      <c r="F394">
        <v>70</v>
      </c>
      <c r="G394" t="s">
        <v>355</v>
      </c>
      <c r="H394" t="s">
        <v>633</v>
      </c>
      <c r="I394" t="s">
        <v>373</v>
      </c>
    </row>
    <row r="395" spans="1:9" x14ac:dyDescent="0.3">
      <c r="A395">
        <v>392</v>
      </c>
      <c r="B395" t="s">
        <v>56</v>
      </c>
      <c r="C395" s="5">
        <v>44707</v>
      </c>
      <c r="D395">
        <v>3</v>
      </c>
      <c r="E395">
        <v>55</v>
      </c>
      <c r="F395">
        <v>165</v>
      </c>
      <c r="G395" t="s">
        <v>355</v>
      </c>
      <c r="H395" t="s">
        <v>353</v>
      </c>
      <c r="I395" t="s">
        <v>366</v>
      </c>
    </row>
    <row r="396" spans="1:9" x14ac:dyDescent="0.3">
      <c r="A396">
        <v>393</v>
      </c>
      <c r="B396" t="s">
        <v>309</v>
      </c>
      <c r="C396" s="5">
        <v>45480</v>
      </c>
      <c r="D396">
        <v>1</v>
      </c>
      <c r="E396">
        <v>7</v>
      </c>
      <c r="F396">
        <v>7</v>
      </c>
      <c r="G396" t="s">
        <v>355</v>
      </c>
      <c r="H396" t="s">
        <v>634</v>
      </c>
      <c r="I396" t="s">
        <v>373</v>
      </c>
    </row>
    <row r="397" spans="1:9" x14ac:dyDescent="0.3">
      <c r="A397">
        <v>394</v>
      </c>
      <c r="B397" t="s">
        <v>39</v>
      </c>
      <c r="C397" s="5">
        <v>44175</v>
      </c>
      <c r="D397">
        <v>6</v>
      </c>
      <c r="E397">
        <v>4.5</v>
      </c>
      <c r="F397">
        <v>27</v>
      </c>
      <c r="G397" t="s">
        <v>355</v>
      </c>
      <c r="H397" t="s">
        <v>353</v>
      </c>
      <c r="I397" t="s">
        <v>373</v>
      </c>
    </row>
    <row r="398" spans="1:9" x14ac:dyDescent="0.3">
      <c r="A398">
        <v>395</v>
      </c>
      <c r="B398" t="s">
        <v>154</v>
      </c>
      <c r="C398" s="5">
        <v>45781</v>
      </c>
      <c r="D398">
        <v>9</v>
      </c>
      <c r="E398">
        <v>35</v>
      </c>
      <c r="F398">
        <v>315</v>
      </c>
      <c r="G398" t="s">
        <v>355</v>
      </c>
      <c r="H398" t="s">
        <v>635</v>
      </c>
      <c r="I398" t="s">
        <v>361</v>
      </c>
    </row>
    <row r="399" spans="1:9" x14ac:dyDescent="0.3">
      <c r="A399">
        <v>396</v>
      </c>
      <c r="B399" t="s">
        <v>17</v>
      </c>
      <c r="C399" s="5">
        <v>44398</v>
      </c>
      <c r="D399">
        <v>3</v>
      </c>
      <c r="E399">
        <v>15</v>
      </c>
      <c r="F399">
        <v>45</v>
      </c>
      <c r="G399" t="s">
        <v>355</v>
      </c>
      <c r="H399" t="s">
        <v>636</v>
      </c>
      <c r="I399" t="s">
        <v>377</v>
      </c>
    </row>
    <row r="400" spans="1:9" x14ac:dyDescent="0.3">
      <c r="A400">
        <v>397</v>
      </c>
      <c r="B400" t="s">
        <v>266</v>
      </c>
      <c r="C400" s="5">
        <v>44490</v>
      </c>
      <c r="D400">
        <v>4</v>
      </c>
      <c r="E400">
        <v>95</v>
      </c>
      <c r="F400">
        <v>380</v>
      </c>
      <c r="G400" t="s">
        <v>355</v>
      </c>
      <c r="H400" t="s">
        <v>637</v>
      </c>
      <c r="I400" t="s">
        <v>373</v>
      </c>
    </row>
    <row r="401" spans="1:9" x14ac:dyDescent="0.3">
      <c r="A401">
        <v>398</v>
      </c>
      <c r="B401" t="s">
        <v>56</v>
      </c>
      <c r="C401" s="5">
        <v>44381</v>
      </c>
      <c r="D401">
        <v>7</v>
      </c>
      <c r="E401">
        <v>55</v>
      </c>
      <c r="F401">
        <v>385</v>
      </c>
      <c r="G401" t="s">
        <v>349</v>
      </c>
      <c r="H401" t="s">
        <v>638</v>
      </c>
      <c r="I401" t="s">
        <v>374</v>
      </c>
    </row>
    <row r="402" spans="1:9" x14ac:dyDescent="0.3">
      <c r="A402">
        <v>399</v>
      </c>
      <c r="B402" t="s">
        <v>109</v>
      </c>
      <c r="C402" s="5">
        <v>44886</v>
      </c>
      <c r="D402">
        <v>5</v>
      </c>
      <c r="E402">
        <v>30</v>
      </c>
      <c r="F402">
        <v>150</v>
      </c>
      <c r="G402" t="s">
        <v>355</v>
      </c>
      <c r="H402" t="s">
        <v>639</v>
      </c>
      <c r="I402" t="s">
        <v>354</v>
      </c>
    </row>
    <row r="403" spans="1:9" x14ac:dyDescent="0.3">
      <c r="A403">
        <v>400</v>
      </c>
      <c r="B403" t="s">
        <v>33</v>
      </c>
      <c r="C403" s="5">
        <v>44501</v>
      </c>
      <c r="D403">
        <v>10</v>
      </c>
      <c r="E403">
        <v>5.5</v>
      </c>
      <c r="F403">
        <v>55</v>
      </c>
      <c r="G403" t="s">
        <v>352</v>
      </c>
      <c r="H403" t="s">
        <v>640</v>
      </c>
      <c r="I403" t="s">
        <v>374</v>
      </c>
    </row>
    <row r="404" spans="1:9" x14ac:dyDescent="0.3">
      <c r="A404">
        <v>401</v>
      </c>
      <c r="B404" t="s">
        <v>185</v>
      </c>
      <c r="C404" s="5">
        <v>45821</v>
      </c>
      <c r="D404">
        <v>8</v>
      </c>
      <c r="E404">
        <v>28</v>
      </c>
      <c r="F404">
        <v>224</v>
      </c>
      <c r="G404" t="s">
        <v>355</v>
      </c>
      <c r="H404" t="s">
        <v>641</v>
      </c>
      <c r="I404" t="s">
        <v>374</v>
      </c>
    </row>
    <row r="405" spans="1:9" x14ac:dyDescent="0.3">
      <c r="A405">
        <v>402</v>
      </c>
      <c r="B405" t="s">
        <v>39</v>
      </c>
      <c r="C405" s="5">
        <v>44645</v>
      </c>
      <c r="D405">
        <v>4</v>
      </c>
      <c r="E405">
        <v>4.5</v>
      </c>
      <c r="F405">
        <v>18</v>
      </c>
      <c r="G405" t="s">
        <v>349</v>
      </c>
      <c r="H405" t="s">
        <v>642</v>
      </c>
      <c r="I405" t="s">
        <v>351</v>
      </c>
    </row>
    <row r="406" spans="1:9" x14ac:dyDescent="0.3">
      <c r="A406">
        <v>403</v>
      </c>
      <c r="B406" t="s">
        <v>297</v>
      </c>
      <c r="C406" s="5">
        <v>45527</v>
      </c>
      <c r="D406">
        <v>5</v>
      </c>
      <c r="E406">
        <v>8</v>
      </c>
      <c r="F406">
        <v>40</v>
      </c>
      <c r="G406" t="s">
        <v>349</v>
      </c>
      <c r="H406" t="s">
        <v>643</v>
      </c>
      <c r="I406" t="s">
        <v>373</v>
      </c>
    </row>
    <row r="407" spans="1:9" x14ac:dyDescent="0.3">
      <c r="A407">
        <v>404</v>
      </c>
      <c r="B407" t="s">
        <v>33</v>
      </c>
      <c r="C407" s="5">
        <v>45445</v>
      </c>
      <c r="D407">
        <v>6</v>
      </c>
      <c r="E407">
        <v>5.5</v>
      </c>
      <c r="F407">
        <v>33</v>
      </c>
      <c r="G407" t="s">
        <v>355</v>
      </c>
      <c r="H407" t="s">
        <v>644</v>
      </c>
      <c r="I407" t="s">
        <v>374</v>
      </c>
    </row>
    <row r="408" spans="1:9" x14ac:dyDescent="0.3">
      <c r="A408">
        <v>405</v>
      </c>
      <c r="B408" t="s">
        <v>56</v>
      </c>
      <c r="C408" s="5">
        <v>45436</v>
      </c>
      <c r="D408">
        <v>8</v>
      </c>
      <c r="E408">
        <v>55</v>
      </c>
      <c r="F408">
        <v>440</v>
      </c>
      <c r="G408" t="s">
        <v>352</v>
      </c>
      <c r="H408" t="s">
        <v>353</v>
      </c>
      <c r="I408" t="s">
        <v>377</v>
      </c>
    </row>
    <row r="409" spans="1:9" x14ac:dyDescent="0.3">
      <c r="A409">
        <v>406</v>
      </c>
      <c r="B409" t="s">
        <v>160</v>
      </c>
      <c r="C409" s="5">
        <v>44765</v>
      </c>
      <c r="D409">
        <v>1</v>
      </c>
      <c r="E409">
        <v>85</v>
      </c>
      <c r="F409">
        <v>85</v>
      </c>
      <c r="G409" t="s">
        <v>349</v>
      </c>
      <c r="H409" t="s">
        <v>353</v>
      </c>
      <c r="I409" t="s">
        <v>377</v>
      </c>
    </row>
    <row r="410" spans="1:9" x14ac:dyDescent="0.3">
      <c r="A410">
        <v>407</v>
      </c>
      <c r="B410" t="s">
        <v>134</v>
      </c>
      <c r="C410" s="5">
        <v>44449</v>
      </c>
      <c r="D410">
        <v>3</v>
      </c>
      <c r="E410">
        <v>38</v>
      </c>
      <c r="F410">
        <v>114</v>
      </c>
      <c r="G410" t="s">
        <v>349</v>
      </c>
      <c r="H410" t="s">
        <v>353</v>
      </c>
      <c r="I410" t="s">
        <v>357</v>
      </c>
    </row>
    <row r="411" spans="1:9" x14ac:dyDescent="0.3">
      <c r="A411">
        <v>408</v>
      </c>
      <c r="B411" t="s">
        <v>100</v>
      </c>
      <c r="C411" s="5">
        <v>43999</v>
      </c>
      <c r="D411">
        <v>6</v>
      </c>
      <c r="E411">
        <v>25</v>
      </c>
      <c r="F411">
        <v>150</v>
      </c>
      <c r="G411" t="s">
        <v>355</v>
      </c>
      <c r="H411" t="s">
        <v>645</v>
      </c>
      <c r="I411" t="s">
        <v>360</v>
      </c>
    </row>
    <row r="412" spans="1:9" x14ac:dyDescent="0.3">
      <c r="A412">
        <v>409</v>
      </c>
      <c r="B412" t="s">
        <v>109</v>
      </c>
      <c r="C412" s="5">
        <v>45112</v>
      </c>
      <c r="D412">
        <v>5</v>
      </c>
      <c r="E412">
        <v>30</v>
      </c>
      <c r="F412">
        <v>150</v>
      </c>
      <c r="G412" t="s">
        <v>355</v>
      </c>
      <c r="H412" t="s">
        <v>646</v>
      </c>
      <c r="I412" t="s">
        <v>361</v>
      </c>
    </row>
    <row r="413" spans="1:9" x14ac:dyDescent="0.3">
      <c r="A413">
        <v>410</v>
      </c>
      <c r="B413" t="s">
        <v>134</v>
      </c>
      <c r="C413" s="5">
        <v>44017</v>
      </c>
      <c r="D413">
        <v>2</v>
      </c>
      <c r="E413">
        <v>38</v>
      </c>
      <c r="F413">
        <v>76</v>
      </c>
      <c r="G413" t="s">
        <v>352</v>
      </c>
      <c r="H413" t="s">
        <v>353</v>
      </c>
      <c r="I413" t="s">
        <v>374</v>
      </c>
    </row>
    <row r="414" spans="1:9" x14ac:dyDescent="0.3">
      <c r="A414">
        <v>411</v>
      </c>
      <c r="B414" t="s">
        <v>70</v>
      </c>
      <c r="C414" s="5">
        <v>45046</v>
      </c>
      <c r="D414">
        <v>4</v>
      </c>
      <c r="E414">
        <v>11</v>
      </c>
      <c r="F414">
        <v>44</v>
      </c>
      <c r="G414" t="s">
        <v>355</v>
      </c>
      <c r="H414" t="s">
        <v>647</v>
      </c>
      <c r="I414" t="s">
        <v>360</v>
      </c>
    </row>
    <row r="415" spans="1:9" x14ac:dyDescent="0.3">
      <c r="A415">
        <v>412</v>
      </c>
      <c r="B415" t="s">
        <v>216</v>
      </c>
      <c r="C415" s="5">
        <v>44534</v>
      </c>
      <c r="D415">
        <v>2</v>
      </c>
      <c r="E415">
        <v>10</v>
      </c>
      <c r="F415">
        <v>20</v>
      </c>
      <c r="G415" t="s">
        <v>349</v>
      </c>
      <c r="H415" t="s">
        <v>648</v>
      </c>
      <c r="I415" t="s">
        <v>374</v>
      </c>
    </row>
    <row r="416" spans="1:9" x14ac:dyDescent="0.3">
      <c r="A416">
        <v>413</v>
      </c>
      <c r="B416" t="s">
        <v>26</v>
      </c>
      <c r="C416" s="5">
        <v>44615</v>
      </c>
      <c r="D416">
        <v>2</v>
      </c>
      <c r="E416">
        <v>18</v>
      </c>
      <c r="F416">
        <v>36</v>
      </c>
      <c r="G416" t="s">
        <v>355</v>
      </c>
      <c r="H416" t="s">
        <v>649</v>
      </c>
      <c r="I416" t="s">
        <v>357</v>
      </c>
    </row>
    <row r="417" spans="1:9" x14ac:dyDescent="0.3">
      <c r="A417">
        <v>414</v>
      </c>
      <c r="B417" t="s">
        <v>149</v>
      </c>
      <c r="C417" s="5">
        <v>45635</v>
      </c>
      <c r="D417">
        <v>5</v>
      </c>
      <c r="E417">
        <v>11.5</v>
      </c>
      <c r="F417">
        <v>57.5</v>
      </c>
      <c r="G417" t="s">
        <v>352</v>
      </c>
      <c r="H417" t="s">
        <v>650</v>
      </c>
      <c r="I417" t="s">
        <v>377</v>
      </c>
    </row>
    <row r="418" spans="1:9" x14ac:dyDescent="0.3">
      <c r="A418">
        <v>415</v>
      </c>
      <c r="B418" t="s">
        <v>134</v>
      </c>
      <c r="C418" s="5">
        <v>45217</v>
      </c>
      <c r="D418">
        <v>3</v>
      </c>
      <c r="E418">
        <v>38</v>
      </c>
      <c r="F418">
        <v>114</v>
      </c>
      <c r="G418" t="s">
        <v>352</v>
      </c>
      <c r="H418" t="s">
        <v>651</v>
      </c>
      <c r="I418" t="s">
        <v>373</v>
      </c>
    </row>
    <row r="419" spans="1:9" x14ac:dyDescent="0.3">
      <c r="A419">
        <v>416</v>
      </c>
      <c r="B419" t="s">
        <v>134</v>
      </c>
      <c r="C419" s="5">
        <v>44167</v>
      </c>
      <c r="D419">
        <v>8</v>
      </c>
      <c r="E419">
        <v>38</v>
      </c>
      <c r="F419">
        <v>304</v>
      </c>
      <c r="G419" t="s">
        <v>349</v>
      </c>
      <c r="H419" t="s">
        <v>652</v>
      </c>
      <c r="I419" t="s">
        <v>377</v>
      </c>
    </row>
    <row r="420" spans="1:9" x14ac:dyDescent="0.3">
      <c r="A420">
        <v>417</v>
      </c>
      <c r="B420" t="s">
        <v>128</v>
      </c>
      <c r="C420" s="5">
        <v>45092</v>
      </c>
      <c r="D420">
        <v>8</v>
      </c>
      <c r="E420">
        <v>16</v>
      </c>
      <c r="F420">
        <v>128</v>
      </c>
      <c r="G420" t="s">
        <v>352</v>
      </c>
      <c r="H420" t="s">
        <v>353</v>
      </c>
      <c r="I420" t="s">
        <v>374</v>
      </c>
    </row>
    <row r="421" spans="1:9" x14ac:dyDescent="0.3">
      <c r="A421">
        <v>418</v>
      </c>
      <c r="B421" t="s">
        <v>70</v>
      </c>
      <c r="C421" s="5">
        <v>45372</v>
      </c>
      <c r="D421">
        <v>2</v>
      </c>
      <c r="E421">
        <v>11</v>
      </c>
      <c r="F421">
        <v>22</v>
      </c>
      <c r="G421" t="s">
        <v>355</v>
      </c>
      <c r="H421" t="s">
        <v>653</v>
      </c>
      <c r="I421" t="s">
        <v>361</v>
      </c>
    </row>
    <row r="422" spans="1:9" x14ac:dyDescent="0.3">
      <c r="A422">
        <v>419</v>
      </c>
      <c r="B422" t="s">
        <v>297</v>
      </c>
      <c r="C422" s="5">
        <v>45451</v>
      </c>
      <c r="D422">
        <v>3</v>
      </c>
      <c r="E422">
        <v>8</v>
      </c>
      <c r="F422">
        <v>24</v>
      </c>
      <c r="G422" t="s">
        <v>352</v>
      </c>
      <c r="H422" t="s">
        <v>353</v>
      </c>
      <c r="I422" t="s">
        <v>374</v>
      </c>
    </row>
    <row r="423" spans="1:9" x14ac:dyDescent="0.3">
      <c r="A423">
        <v>420</v>
      </c>
      <c r="B423" t="s">
        <v>235</v>
      </c>
      <c r="C423" s="5">
        <v>44964</v>
      </c>
      <c r="D423">
        <v>10</v>
      </c>
      <c r="E423">
        <v>14</v>
      </c>
      <c r="F423">
        <v>140</v>
      </c>
      <c r="G423" t="s">
        <v>355</v>
      </c>
      <c r="H423" t="s">
        <v>654</v>
      </c>
      <c r="I423" t="s">
        <v>360</v>
      </c>
    </row>
    <row r="424" spans="1:9" x14ac:dyDescent="0.3">
      <c r="A424">
        <v>421</v>
      </c>
      <c r="B424" t="s">
        <v>256</v>
      </c>
      <c r="C424" s="5">
        <v>45624</v>
      </c>
      <c r="D424">
        <v>5</v>
      </c>
      <c r="E424">
        <v>32</v>
      </c>
      <c r="F424">
        <v>160</v>
      </c>
      <c r="G424" t="s">
        <v>352</v>
      </c>
      <c r="H424" t="s">
        <v>655</v>
      </c>
      <c r="I424" t="s">
        <v>366</v>
      </c>
    </row>
    <row r="425" spans="1:9" x14ac:dyDescent="0.3">
      <c r="A425">
        <v>422</v>
      </c>
      <c r="B425" t="s">
        <v>302</v>
      </c>
      <c r="C425" s="5">
        <v>44633</v>
      </c>
      <c r="D425">
        <v>5</v>
      </c>
      <c r="E425">
        <v>22</v>
      </c>
      <c r="F425">
        <v>110</v>
      </c>
      <c r="G425" t="s">
        <v>355</v>
      </c>
      <c r="H425" t="s">
        <v>353</v>
      </c>
      <c r="I425" t="s">
        <v>366</v>
      </c>
    </row>
    <row r="426" spans="1:9" x14ac:dyDescent="0.3">
      <c r="A426">
        <v>423</v>
      </c>
      <c r="B426" t="s">
        <v>33</v>
      </c>
      <c r="C426" s="5">
        <v>44621</v>
      </c>
      <c r="D426">
        <v>2</v>
      </c>
      <c r="E426">
        <v>5.5</v>
      </c>
      <c r="F426">
        <v>11</v>
      </c>
      <c r="G426" t="s">
        <v>352</v>
      </c>
      <c r="H426" t="s">
        <v>656</v>
      </c>
      <c r="I426" t="s">
        <v>374</v>
      </c>
    </row>
    <row r="427" spans="1:9" x14ac:dyDescent="0.3">
      <c r="A427">
        <v>424</v>
      </c>
      <c r="B427" t="s">
        <v>276</v>
      </c>
      <c r="C427" s="5">
        <v>45651</v>
      </c>
      <c r="D427">
        <v>1</v>
      </c>
      <c r="E427">
        <v>8.5</v>
      </c>
      <c r="F427">
        <v>8.5</v>
      </c>
      <c r="G427" t="s">
        <v>349</v>
      </c>
      <c r="H427" t="s">
        <v>657</v>
      </c>
      <c r="I427" t="s">
        <v>361</v>
      </c>
    </row>
    <row r="428" spans="1:9" x14ac:dyDescent="0.3">
      <c r="A428">
        <v>425</v>
      </c>
      <c r="B428" t="s">
        <v>247</v>
      </c>
      <c r="C428" s="5">
        <v>44692</v>
      </c>
      <c r="D428">
        <v>6</v>
      </c>
      <c r="E428">
        <v>11</v>
      </c>
      <c r="F428">
        <v>66</v>
      </c>
      <c r="G428" t="s">
        <v>355</v>
      </c>
      <c r="H428" t="s">
        <v>658</v>
      </c>
      <c r="I428" t="s">
        <v>354</v>
      </c>
    </row>
    <row r="429" spans="1:9" x14ac:dyDescent="0.3">
      <c r="A429">
        <v>426</v>
      </c>
      <c r="B429" t="s">
        <v>199</v>
      </c>
      <c r="C429" s="5">
        <v>43980</v>
      </c>
      <c r="D429">
        <v>1</v>
      </c>
      <c r="E429">
        <v>3.5</v>
      </c>
      <c r="F429">
        <v>3.5</v>
      </c>
      <c r="G429" t="s">
        <v>355</v>
      </c>
      <c r="H429" t="s">
        <v>353</v>
      </c>
      <c r="I429" t="s">
        <v>351</v>
      </c>
    </row>
    <row r="430" spans="1:9" x14ac:dyDescent="0.3">
      <c r="A430">
        <v>427</v>
      </c>
      <c r="B430" t="s">
        <v>309</v>
      </c>
      <c r="C430" s="5">
        <v>43912</v>
      </c>
      <c r="D430">
        <v>1</v>
      </c>
      <c r="E430">
        <v>7</v>
      </c>
      <c r="F430">
        <v>7</v>
      </c>
      <c r="G430" t="s">
        <v>349</v>
      </c>
      <c r="H430" t="s">
        <v>659</v>
      </c>
      <c r="I430" t="s">
        <v>364</v>
      </c>
    </row>
    <row r="431" spans="1:9" x14ac:dyDescent="0.3">
      <c r="A431">
        <v>428</v>
      </c>
      <c r="B431" t="s">
        <v>199</v>
      </c>
      <c r="C431" s="5">
        <v>44681</v>
      </c>
      <c r="D431">
        <v>7</v>
      </c>
      <c r="E431">
        <v>3.5</v>
      </c>
      <c r="F431">
        <v>24.5</v>
      </c>
      <c r="G431" t="s">
        <v>355</v>
      </c>
      <c r="H431" t="s">
        <v>660</v>
      </c>
      <c r="I431" t="s">
        <v>364</v>
      </c>
    </row>
    <row r="432" spans="1:9" x14ac:dyDescent="0.3">
      <c r="A432">
        <v>429</v>
      </c>
      <c r="B432" t="s">
        <v>39</v>
      </c>
      <c r="C432" s="5">
        <v>45092</v>
      </c>
      <c r="D432">
        <v>3</v>
      </c>
      <c r="E432">
        <v>4.5</v>
      </c>
      <c r="F432">
        <v>13.5</v>
      </c>
      <c r="G432" t="s">
        <v>349</v>
      </c>
      <c r="H432" t="s">
        <v>353</v>
      </c>
      <c r="I432" t="s">
        <v>374</v>
      </c>
    </row>
    <row r="433" spans="1:9" x14ac:dyDescent="0.3">
      <c r="A433">
        <v>430</v>
      </c>
      <c r="B433" t="s">
        <v>180</v>
      </c>
      <c r="C433" s="5">
        <v>45717</v>
      </c>
      <c r="D433">
        <v>4</v>
      </c>
      <c r="E433">
        <v>12</v>
      </c>
      <c r="F433">
        <v>48</v>
      </c>
      <c r="G433" t="s">
        <v>352</v>
      </c>
      <c r="H433" t="s">
        <v>661</v>
      </c>
      <c r="I433" t="s">
        <v>373</v>
      </c>
    </row>
    <row r="434" spans="1:9" x14ac:dyDescent="0.3">
      <c r="A434">
        <v>431</v>
      </c>
      <c r="B434" t="s">
        <v>56</v>
      </c>
      <c r="C434" s="5">
        <v>45394</v>
      </c>
      <c r="D434">
        <v>2</v>
      </c>
      <c r="E434">
        <v>55</v>
      </c>
      <c r="F434">
        <v>110</v>
      </c>
      <c r="G434" t="s">
        <v>349</v>
      </c>
      <c r="H434" t="s">
        <v>662</v>
      </c>
      <c r="I434" t="s">
        <v>366</v>
      </c>
    </row>
    <row r="435" spans="1:9" x14ac:dyDescent="0.3">
      <c r="A435">
        <v>432</v>
      </c>
      <c r="B435" t="s">
        <v>17</v>
      </c>
      <c r="C435" s="5">
        <v>44331</v>
      </c>
      <c r="D435">
        <v>2</v>
      </c>
      <c r="E435">
        <v>15</v>
      </c>
      <c r="F435">
        <v>30</v>
      </c>
      <c r="G435" t="s">
        <v>349</v>
      </c>
      <c r="H435" t="s">
        <v>353</v>
      </c>
      <c r="I435" t="s">
        <v>373</v>
      </c>
    </row>
    <row r="436" spans="1:9" x14ac:dyDescent="0.3">
      <c r="A436">
        <v>433</v>
      </c>
      <c r="B436" t="s">
        <v>45</v>
      </c>
      <c r="C436" s="5">
        <v>43943</v>
      </c>
      <c r="D436">
        <v>5</v>
      </c>
      <c r="E436">
        <v>28</v>
      </c>
      <c r="F436">
        <v>140</v>
      </c>
      <c r="G436" t="s">
        <v>355</v>
      </c>
      <c r="H436" t="s">
        <v>663</v>
      </c>
      <c r="I436" t="s">
        <v>377</v>
      </c>
    </row>
    <row r="437" spans="1:9" x14ac:dyDescent="0.3">
      <c r="A437">
        <v>434</v>
      </c>
      <c r="B437" t="s">
        <v>230</v>
      </c>
      <c r="C437" s="5">
        <v>43856</v>
      </c>
      <c r="D437">
        <v>3</v>
      </c>
      <c r="E437">
        <v>4.5</v>
      </c>
      <c r="F437">
        <v>13.5</v>
      </c>
      <c r="G437" t="s">
        <v>355</v>
      </c>
      <c r="H437" t="s">
        <v>353</v>
      </c>
      <c r="I437" t="s">
        <v>354</v>
      </c>
    </row>
    <row r="438" spans="1:9" x14ac:dyDescent="0.3">
      <c r="A438">
        <v>435</v>
      </c>
      <c r="B438" t="s">
        <v>105</v>
      </c>
      <c r="C438" s="5">
        <v>44902</v>
      </c>
      <c r="D438">
        <v>9</v>
      </c>
      <c r="E438">
        <v>7.5</v>
      </c>
      <c r="F438">
        <v>67.5</v>
      </c>
      <c r="G438" t="s">
        <v>355</v>
      </c>
      <c r="H438" t="s">
        <v>353</v>
      </c>
      <c r="I438" t="s">
        <v>357</v>
      </c>
    </row>
    <row r="439" spans="1:9" x14ac:dyDescent="0.3">
      <c r="A439">
        <v>436</v>
      </c>
      <c r="B439" t="s">
        <v>70</v>
      </c>
      <c r="C439" s="5">
        <v>45366</v>
      </c>
      <c r="D439">
        <v>5</v>
      </c>
      <c r="E439">
        <v>11</v>
      </c>
      <c r="F439">
        <v>55</v>
      </c>
      <c r="G439" t="s">
        <v>355</v>
      </c>
      <c r="H439" t="s">
        <v>664</v>
      </c>
      <c r="I439" t="s">
        <v>360</v>
      </c>
    </row>
    <row r="440" spans="1:9" x14ac:dyDescent="0.3">
      <c r="A440">
        <v>437</v>
      </c>
      <c r="B440" t="s">
        <v>171</v>
      </c>
      <c r="C440" s="5">
        <v>45483</v>
      </c>
      <c r="D440">
        <v>7</v>
      </c>
      <c r="E440">
        <v>9.5</v>
      </c>
      <c r="F440">
        <v>66.5</v>
      </c>
      <c r="G440" t="s">
        <v>349</v>
      </c>
      <c r="H440" t="s">
        <v>665</v>
      </c>
      <c r="I440" t="s">
        <v>373</v>
      </c>
    </row>
    <row r="441" spans="1:9" x14ac:dyDescent="0.3">
      <c r="A441">
        <v>438</v>
      </c>
      <c r="B441" t="s">
        <v>56</v>
      </c>
      <c r="C441" s="5">
        <v>43988</v>
      </c>
      <c r="D441">
        <v>8</v>
      </c>
      <c r="E441">
        <v>55</v>
      </c>
      <c r="F441">
        <v>440</v>
      </c>
      <c r="G441" t="s">
        <v>349</v>
      </c>
      <c r="H441" t="s">
        <v>666</v>
      </c>
      <c r="I441" t="s">
        <v>354</v>
      </c>
    </row>
    <row r="442" spans="1:9" x14ac:dyDescent="0.3">
      <c r="A442">
        <v>439</v>
      </c>
      <c r="B442" t="s">
        <v>247</v>
      </c>
      <c r="C442" s="5">
        <v>44172</v>
      </c>
      <c r="D442">
        <v>6</v>
      </c>
      <c r="E442">
        <v>11</v>
      </c>
      <c r="F442">
        <v>66</v>
      </c>
      <c r="G442" t="s">
        <v>352</v>
      </c>
      <c r="H442" t="s">
        <v>353</v>
      </c>
      <c r="I442" t="s">
        <v>374</v>
      </c>
    </row>
    <row r="443" spans="1:9" x14ac:dyDescent="0.3">
      <c r="A443">
        <v>440</v>
      </c>
      <c r="B443" t="s">
        <v>247</v>
      </c>
      <c r="C443" s="5">
        <v>45211</v>
      </c>
      <c r="D443">
        <v>2</v>
      </c>
      <c r="E443">
        <v>11</v>
      </c>
      <c r="F443">
        <v>22</v>
      </c>
      <c r="G443" t="s">
        <v>352</v>
      </c>
      <c r="H443" t="s">
        <v>667</v>
      </c>
      <c r="I443" t="s">
        <v>360</v>
      </c>
    </row>
    <row r="444" spans="1:9" x14ac:dyDescent="0.3">
      <c r="A444">
        <v>441</v>
      </c>
      <c r="B444" t="s">
        <v>82</v>
      </c>
      <c r="C444" s="5">
        <v>44331</v>
      </c>
      <c r="D444">
        <v>1</v>
      </c>
      <c r="E444">
        <v>12.5</v>
      </c>
      <c r="F444">
        <v>12.5</v>
      </c>
      <c r="G444" t="s">
        <v>349</v>
      </c>
      <c r="H444" t="s">
        <v>668</v>
      </c>
      <c r="I444" t="s">
        <v>377</v>
      </c>
    </row>
    <row r="445" spans="1:9" x14ac:dyDescent="0.3">
      <c r="A445">
        <v>442</v>
      </c>
      <c r="B445" t="s">
        <v>288</v>
      </c>
      <c r="C445" s="5">
        <v>44963</v>
      </c>
      <c r="D445">
        <v>7</v>
      </c>
      <c r="E445">
        <v>8.75</v>
      </c>
      <c r="F445">
        <v>61.25</v>
      </c>
      <c r="G445" t="s">
        <v>352</v>
      </c>
      <c r="H445" t="s">
        <v>669</v>
      </c>
      <c r="I445" t="s">
        <v>357</v>
      </c>
    </row>
    <row r="446" spans="1:9" x14ac:dyDescent="0.3">
      <c r="A446">
        <v>443</v>
      </c>
      <c r="B446" t="s">
        <v>154</v>
      </c>
      <c r="C446" s="5">
        <v>45522</v>
      </c>
      <c r="D446">
        <v>2</v>
      </c>
      <c r="E446">
        <v>35</v>
      </c>
      <c r="F446">
        <v>70</v>
      </c>
      <c r="G446" t="s">
        <v>355</v>
      </c>
      <c r="H446" t="s">
        <v>670</v>
      </c>
      <c r="I446" t="s">
        <v>360</v>
      </c>
    </row>
    <row r="447" spans="1:9" x14ac:dyDescent="0.3">
      <c r="A447">
        <v>444</v>
      </c>
      <c r="B447" t="s">
        <v>292</v>
      </c>
      <c r="C447" s="5">
        <v>44288</v>
      </c>
      <c r="D447">
        <v>9</v>
      </c>
      <c r="E447">
        <v>13</v>
      </c>
      <c r="F447">
        <v>117</v>
      </c>
      <c r="G447" t="s">
        <v>352</v>
      </c>
      <c r="H447" t="s">
        <v>671</v>
      </c>
      <c r="I447" t="s">
        <v>354</v>
      </c>
    </row>
    <row r="448" spans="1:9" x14ac:dyDescent="0.3">
      <c r="A448">
        <v>445</v>
      </c>
      <c r="B448" t="s">
        <v>139</v>
      </c>
      <c r="C448" s="5">
        <v>45415</v>
      </c>
      <c r="D448">
        <v>5</v>
      </c>
      <c r="E448">
        <v>6</v>
      </c>
      <c r="F448">
        <v>30</v>
      </c>
      <c r="G448" t="s">
        <v>349</v>
      </c>
      <c r="H448" t="s">
        <v>353</v>
      </c>
      <c r="I448" t="s">
        <v>354</v>
      </c>
    </row>
    <row r="449" spans="1:9" x14ac:dyDescent="0.3">
      <c r="A449">
        <v>446</v>
      </c>
      <c r="B449" t="s">
        <v>82</v>
      </c>
      <c r="C449" s="5">
        <v>44586</v>
      </c>
      <c r="D449">
        <v>4</v>
      </c>
      <c r="E449">
        <v>12.5</v>
      </c>
      <c r="F449">
        <v>50</v>
      </c>
      <c r="G449" t="s">
        <v>349</v>
      </c>
      <c r="H449" t="s">
        <v>672</v>
      </c>
      <c r="I449" t="s">
        <v>373</v>
      </c>
    </row>
    <row r="450" spans="1:9" x14ac:dyDescent="0.3">
      <c r="A450">
        <v>447</v>
      </c>
      <c r="B450" t="s">
        <v>235</v>
      </c>
      <c r="C450" s="5">
        <v>44781</v>
      </c>
      <c r="D450">
        <v>6</v>
      </c>
      <c r="E450">
        <v>14</v>
      </c>
      <c r="F450">
        <v>84</v>
      </c>
      <c r="G450" t="s">
        <v>355</v>
      </c>
      <c r="H450" t="s">
        <v>673</v>
      </c>
      <c r="I450" t="s">
        <v>366</v>
      </c>
    </row>
    <row r="451" spans="1:9" x14ac:dyDescent="0.3">
      <c r="A451">
        <v>448</v>
      </c>
      <c r="B451" t="s">
        <v>185</v>
      </c>
      <c r="C451" s="5">
        <v>45675</v>
      </c>
      <c r="D451">
        <v>9</v>
      </c>
      <c r="E451">
        <v>28</v>
      </c>
      <c r="F451">
        <v>252</v>
      </c>
      <c r="G451" t="s">
        <v>352</v>
      </c>
      <c r="H451" t="s">
        <v>353</v>
      </c>
      <c r="I451" t="s">
        <v>361</v>
      </c>
    </row>
    <row r="452" spans="1:9" x14ac:dyDescent="0.3">
      <c r="A452">
        <v>449</v>
      </c>
      <c r="B452" t="s">
        <v>62</v>
      </c>
      <c r="C452" s="5">
        <v>44308</v>
      </c>
      <c r="D452">
        <v>9</v>
      </c>
      <c r="E452">
        <v>5</v>
      </c>
      <c r="F452">
        <v>45</v>
      </c>
      <c r="G452" t="s">
        <v>349</v>
      </c>
      <c r="H452" t="s">
        <v>674</v>
      </c>
      <c r="I452" t="s">
        <v>360</v>
      </c>
    </row>
    <row r="453" spans="1:9" x14ac:dyDescent="0.3">
      <c r="A453">
        <v>450</v>
      </c>
      <c r="B453" t="s">
        <v>171</v>
      </c>
      <c r="C453" s="5">
        <v>43833</v>
      </c>
      <c r="D453">
        <v>7</v>
      </c>
      <c r="E453">
        <v>9.5</v>
      </c>
      <c r="F453">
        <v>66.5</v>
      </c>
      <c r="G453" t="s">
        <v>355</v>
      </c>
      <c r="H453" t="s">
        <v>675</v>
      </c>
      <c r="I453" t="s">
        <v>366</v>
      </c>
    </row>
    <row r="454" spans="1:9" x14ac:dyDescent="0.3">
      <c r="A454">
        <v>451</v>
      </c>
      <c r="B454" t="s">
        <v>276</v>
      </c>
      <c r="C454" s="5">
        <v>44318</v>
      </c>
      <c r="D454">
        <v>7</v>
      </c>
      <c r="E454">
        <v>8.5</v>
      </c>
      <c r="F454">
        <v>59.5</v>
      </c>
      <c r="G454" t="s">
        <v>349</v>
      </c>
      <c r="H454" t="s">
        <v>676</v>
      </c>
      <c r="I454" t="s">
        <v>351</v>
      </c>
    </row>
    <row r="455" spans="1:9" x14ac:dyDescent="0.3">
      <c r="A455">
        <v>452</v>
      </c>
      <c r="B455" t="s">
        <v>124</v>
      </c>
      <c r="C455" s="5">
        <v>43920</v>
      </c>
      <c r="D455">
        <v>4</v>
      </c>
      <c r="E455">
        <v>22</v>
      </c>
      <c r="F455">
        <v>88</v>
      </c>
      <c r="G455" t="s">
        <v>355</v>
      </c>
      <c r="H455" t="s">
        <v>677</v>
      </c>
      <c r="I455" t="s">
        <v>354</v>
      </c>
    </row>
    <row r="456" spans="1:9" x14ac:dyDescent="0.3">
      <c r="A456">
        <v>453</v>
      </c>
      <c r="B456" t="s">
        <v>302</v>
      </c>
      <c r="C456" s="5">
        <v>44004</v>
      </c>
      <c r="D456">
        <v>10</v>
      </c>
      <c r="E456">
        <v>22</v>
      </c>
      <c r="F456">
        <v>220</v>
      </c>
      <c r="G456" t="s">
        <v>352</v>
      </c>
      <c r="H456" t="s">
        <v>678</v>
      </c>
      <c r="I456" t="s">
        <v>361</v>
      </c>
    </row>
    <row r="457" spans="1:9" x14ac:dyDescent="0.3">
      <c r="A457">
        <v>454</v>
      </c>
      <c r="B457" t="s">
        <v>90</v>
      </c>
      <c r="C457" s="5">
        <v>45043</v>
      </c>
      <c r="D457">
        <v>10</v>
      </c>
      <c r="E457">
        <v>9</v>
      </c>
      <c r="F457">
        <v>90</v>
      </c>
      <c r="G457" t="s">
        <v>352</v>
      </c>
      <c r="H457" t="s">
        <v>679</v>
      </c>
      <c r="I457" t="s">
        <v>366</v>
      </c>
    </row>
    <row r="458" spans="1:9" x14ac:dyDescent="0.3">
      <c r="A458">
        <v>455</v>
      </c>
      <c r="B458" t="s">
        <v>139</v>
      </c>
      <c r="C458" s="5">
        <v>44365</v>
      </c>
      <c r="D458">
        <v>6</v>
      </c>
      <c r="E458">
        <v>6</v>
      </c>
      <c r="F458">
        <v>36</v>
      </c>
      <c r="G458" t="s">
        <v>349</v>
      </c>
      <c r="H458" t="s">
        <v>680</v>
      </c>
      <c r="I458" t="s">
        <v>357</v>
      </c>
    </row>
    <row r="459" spans="1:9" x14ac:dyDescent="0.3">
      <c r="A459">
        <v>456</v>
      </c>
      <c r="B459" t="s">
        <v>297</v>
      </c>
      <c r="C459" s="5">
        <v>44758</v>
      </c>
      <c r="D459">
        <v>5</v>
      </c>
      <c r="E459">
        <v>8</v>
      </c>
      <c r="F459">
        <v>40</v>
      </c>
      <c r="G459" t="s">
        <v>352</v>
      </c>
      <c r="H459" t="s">
        <v>353</v>
      </c>
      <c r="I459" t="s">
        <v>366</v>
      </c>
    </row>
    <row r="460" spans="1:9" x14ac:dyDescent="0.3">
      <c r="A460">
        <v>457</v>
      </c>
      <c r="B460" t="s">
        <v>70</v>
      </c>
      <c r="C460" s="5">
        <v>45428</v>
      </c>
      <c r="D460">
        <v>10</v>
      </c>
      <c r="E460">
        <v>11</v>
      </c>
      <c r="F460">
        <v>110</v>
      </c>
      <c r="G460" t="s">
        <v>352</v>
      </c>
      <c r="H460" t="s">
        <v>353</v>
      </c>
      <c r="I460" t="s">
        <v>377</v>
      </c>
    </row>
    <row r="461" spans="1:9" x14ac:dyDescent="0.3">
      <c r="A461">
        <v>458</v>
      </c>
      <c r="B461" t="s">
        <v>160</v>
      </c>
      <c r="C461" s="5">
        <v>44785</v>
      </c>
      <c r="D461">
        <v>6</v>
      </c>
      <c r="E461">
        <v>85</v>
      </c>
      <c r="F461">
        <v>510</v>
      </c>
      <c r="G461" t="s">
        <v>349</v>
      </c>
      <c r="H461" t="s">
        <v>353</v>
      </c>
      <c r="I461" t="s">
        <v>357</v>
      </c>
    </row>
    <row r="462" spans="1:9" x14ac:dyDescent="0.3">
      <c r="A462">
        <v>459</v>
      </c>
      <c r="B462" t="s">
        <v>199</v>
      </c>
      <c r="C462" s="5">
        <v>44256</v>
      </c>
      <c r="D462">
        <v>8</v>
      </c>
      <c r="E462">
        <v>3.5</v>
      </c>
      <c r="F462">
        <v>28</v>
      </c>
      <c r="G462" t="s">
        <v>349</v>
      </c>
      <c r="H462" t="s">
        <v>681</v>
      </c>
      <c r="I462" t="s">
        <v>374</v>
      </c>
    </row>
    <row r="463" spans="1:9" x14ac:dyDescent="0.3">
      <c r="A463">
        <v>460</v>
      </c>
      <c r="B463" t="s">
        <v>124</v>
      </c>
      <c r="C463" s="5">
        <v>44153</v>
      </c>
      <c r="D463">
        <v>5</v>
      </c>
      <c r="E463">
        <v>22</v>
      </c>
      <c r="F463">
        <v>110</v>
      </c>
      <c r="G463" t="s">
        <v>355</v>
      </c>
      <c r="H463" t="s">
        <v>682</v>
      </c>
      <c r="I463" t="s">
        <v>366</v>
      </c>
    </row>
    <row r="464" spans="1:9" x14ac:dyDescent="0.3">
      <c r="A464">
        <v>461</v>
      </c>
      <c r="B464" t="s">
        <v>297</v>
      </c>
      <c r="C464" s="5">
        <v>44134</v>
      </c>
      <c r="D464">
        <v>2</v>
      </c>
      <c r="E464">
        <v>8</v>
      </c>
      <c r="F464">
        <v>16</v>
      </c>
      <c r="G464" t="s">
        <v>355</v>
      </c>
      <c r="H464" t="s">
        <v>353</v>
      </c>
      <c r="I464" t="s">
        <v>357</v>
      </c>
    </row>
    <row r="465" spans="1:9" x14ac:dyDescent="0.3">
      <c r="A465">
        <v>462</v>
      </c>
      <c r="B465" t="s">
        <v>109</v>
      </c>
      <c r="C465" s="5">
        <v>44882</v>
      </c>
      <c r="D465">
        <v>1</v>
      </c>
      <c r="E465">
        <v>30</v>
      </c>
      <c r="F465">
        <v>30</v>
      </c>
      <c r="G465" t="s">
        <v>355</v>
      </c>
      <c r="H465" t="s">
        <v>353</v>
      </c>
      <c r="I465" t="s">
        <v>377</v>
      </c>
    </row>
    <row r="466" spans="1:9" x14ac:dyDescent="0.3">
      <c r="A466">
        <v>463</v>
      </c>
      <c r="B466" t="s">
        <v>62</v>
      </c>
      <c r="C466" s="5">
        <v>45780</v>
      </c>
      <c r="D466">
        <v>7</v>
      </c>
      <c r="E466">
        <v>5</v>
      </c>
      <c r="F466">
        <v>35</v>
      </c>
      <c r="G466" t="s">
        <v>349</v>
      </c>
      <c r="H466" t="s">
        <v>683</v>
      </c>
      <c r="I466" t="s">
        <v>366</v>
      </c>
    </row>
    <row r="467" spans="1:9" x14ac:dyDescent="0.3">
      <c r="A467">
        <v>464</v>
      </c>
      <c r="B467" t="s">
        <v>94</v>
      </c>
      <c r="C467" s="5">
        <v>44777</v>
      </c>
      <c r="D467">
        <v>2</v>
      </c>
      <c r="E467">
        <v>6.5</v>
      </c>
      <c r="F467">
        <v>13</v>
      </c>
      <c r="G467" t="s">
        <v>352</v>
      </c>
      <c r="H467" t="s">
        <v>353</v>
      </c>
      <c r="I467" t="s">
        <v>360</v>
      </c>
    </row>
    <row r="468" spans="1:9" x14ac:dyDescent="0.3">
      <c r="A468">
        <v>465</v>
      </c>
      <c r="B468" t="s">
        <v>199</v>
      </c>
      <c r="C468" s="5">
        <v>44286</v>
      </c>
      <c r="D468">
        <v>3</v>
      </c>
      <c r="E468">
        <v>3.5</v>
      </c>
      <c r="F468">
        <v>10.5</v>
      </c>
      <c r="G468" t="s">
        <v>352</v>
      </c>
      <c r="H468" t="s">
        <v>684</v>
      </c>
      <c r="I468" t="s">
        <v>374</v>
      </c>
    </row>
    <row r="469" spans="1:9" x14ac:dyDescent="0.3">
      <c r="A469">
        <v>466</v>
      </c>
      <c r="B469" t="s">
        <v>251</v>
      </c>
      <c r="C469" s="5">
        <v>45031</v>
      </c>
      <c r="D469">
        <v>5</v>
      </c>
      <c r="E469">
        <v>22</v>
      </c>
      <c r="F469">
        <v>110</v>
      </c>
      <c r="G469" t="s">
        <v>352</v>
      </c>
      <c r="H469" t="s">
        <v>353</v>
      </c>
      <c r="I469" t="s">
        <v>374</v>
      </c>
    </row>
    <row r="470" spans="1:9" x14ac:dyDescent="0.3">
      <c r="A470">
        <v>467</v>
      </c>
      <c r="B470" t="s">
        <v>75</v>
      </c>
      <c r="C470" s="5">
        <v>45679</v>
      </c>
      <c r="D470">
        <v>8</v>
      </c>
      <c r="E470">
        <v>10.5</v>
      </c>
      <c r="F470">
        <v>84</v>
      </c>
      <c r="G470" t="s">
        <v>352</v>
      </c>
      <c r="H470" t="s">
        <v>353</v>
      </c>
      <c r="I470" t="s">
        <v>357</v>
      </c>
    </row>
    <row r="471" spans="1:9" x14ac:dyDescent="0.3">
      <c r="A471">
        <v>468</v>
      </c>
      <c r="B471" t="s">
        <v>230</v>
      </c>
      <c r="C471" s="5">
        <v>43918</v>
      </c>
      <c r="D471">
        <v>8</v>
      </c>
      <c r="E471">
        <v>4.5</v>
      </c>
      <c r="F471">
        <v>36</v>
      </c>
      <c r="G471" t="s">
        <v>352</v>
      </c>
      <c r="H471" t="s">
        <v>353</v>
      </c>
      <c r="I471" t="s">
        <v>373</v>
      </c>
    </row>
    <row r="472" spans="1:9" x14ac:dyDescent="0.3">
      <c r="A472">
        <v>469</v>
      </c>
      <c r="B472" t="s">
        <v>114</v>
      </c>
      <c r="C472" s="5">
        <v>45513</v>
      </c>
      <c r="D472">
        <v>7</v>
      </c>
      <c r="E472">
        <v>7</v>
      </c>
      <c r="F472">
        <v>49</v>
      </c>
      <c r="G472" t="s">
        <v>349</v>
      </c>
      <c r="H472" t="s">
        <v>353</v>
      </c>
      <c r="I472" t="s">
        <v>361</v>
      </c>
    </row>
    <row r="473" spans="1:9" x14ac:dyDescent="0.3">
      <c r="A473">
        <v>470</v>
      </c>
      <c r="B473" t="s">
        <v>292</v>
      </c>
      <c r="C473" s="5">
        <v>44555</v>
      </c>
      <c r="D473">
        <v>4</v>
      </c>
      <c r="E473">
        <v>13</v>
      </c>
      <c r="F473">
        <v>52</v>
      </c>
      <c r="G473" t="s">
        <v>352</v>
      </c>
      <c r="H473" t="s">
        <v>353</v>
      </c>
      <c r="I473" t="s">
        <v>354</v>
      </c>
    </row>
    <row r="474" spans="1:9" x14ac:dyDescent="0.3">
      <c r="A474">
        <v>471</v>
      </c>
      <c r="B474" t="s">
        <v>206</v>
      </c>
      <c r="C474" s="5">
        <v>43901</v>
      </c>
      <c r="D474">
        <v>10</v>
      </c>
      <c r="E474">
        <v>280</v>
      </c>
      <c r="F474">
        <v>2800</v>
      </c>
      <c r="G474" t="s">
        <v>355</v>
      </c>
      <c r="H474" t="s">
        <v>685</v>
      </c>
      <c r="I474" t="s">
        <v>351</v>
      </c>
    </row>
    <row r="475" spans="1:9" x14ac:dyDescent="0.3">
      <c r="A475">
        <v>472</v>
      </c>
      <c r="B475" t="s">
        <v>33</v>
      </c>
      <c r="C475" s="5">
        <v>44674</v>
      </c>
      <c r="D475">
        <v>9</v>
      </c>
      <c r="E475">
        <v>5.5</v>
      </c>
      <c r="F475">
        <v>49.5</v>
      </c>
      <c r="G475" t="s">
        <v>349</v>
      </c>
      <c r="H475" t="s">
        <v>353</v>
      </c>
      <c r="I475" t="s">
        <v>351</v>
      </c>
    </row>
    <row r="476" spans="1:9" x14ac:dyDescent="0.3">
      <c r="A476">
        <v>473</v>
      </c>
      <c r="B476" t="s">
        <v>195</v>
      </c>
      <c r="C476" s="5">
        <v>44112</v>
      </c>
      <c r="D476">
        <v>7</v>
      </c>
      <c r="E476">
        <v>3.5</v>
      </c>
      <c r="F476">
        <v>24.5</v>
      </c>
      <c r="G476" t="s">
        <v>352</v>
      </c>
      <c r="H476" t="s">
        <v>686</v>
      </c>
      <c r="I476" t="s">
        <v>364</v>
      </c>
    </row>
    <row r="477" spans="1:9" x14ac:dyDescent="0.3">
      <c r="A477">
        <v>474</v>
      </c>
      <c r="B477" t="s">
        <v>235</v>
      </c>
      <c r="C477" s="5">
        <v>45122</v>
      </c>
      <c r="D477">
        <v>9</v>
      </c>
      <c r="E477">
        <v>14</v>
      </c>
      <c r="F477">
        <v>126</v>
      </c>
      <c r="G477" t="s">
        <v>352</v>
      </c>
      <c r="H477" t="s">
        <v>687</v>
      </c>
      <c r="I477" t="s">
        <v>357</v>
      </c>
    </row>
    <row r="478" spans="1:9" x14ac:dyDescent="0.3">
      <c r="A478">
        <v>475</v>
      </c>
      <c r="B478" t="s">
        <v>211</v>
      </c>
      <c r="C478" s="5">
        <v>44946</v>
      </c>
      <c r="D478">
        <v>8</v>
      </c>
      <c r="E478">
        <v>19</v>
      </c>
      <c r="F478">
        <v>152</v>
      </c>
      <c r="G478" t="s">
        <v>349</v>
      </c>
      <c r="H478" t="s">
        <v>688</v>
      </c>
      <c r="I478" t="s">
        <v>357</v>
      </c>
    </row>
    <row r="479" spans="1:9" x14ac:dyDescent="0.3">
      <c r="A479">
        <v>476</v>
      </c>
      <c r="B479" t="s">
        <v>195</v>
      </c>
      <c r="C479" s="5">
        <v>44384</v>
      </c>
      <c r="D479">
        <v>3</v>
      </c>
      <c r="E479">
        <v>3.5</v>
      </c>
      <c r="F479">
        <v>10.5</v>
      </c>
      <c r="G479" t="s">
        <v>352</v>
      </c>
      <c r="H479" t="s">
        <v>689</v>
      </c>
      <c r="I479" t="s">
        <v>360</v>
      </c>
    </row>
    <row r="480" spans="1:9" x14ac:dyDescent="0.3">
      <c r="A480">
        <v>477</v>
      </c>
      <c r="B480" t="s">
        <v>199</v>
      </c>
      <c r="C480" s="5">
        <v>44406</v>
      </c>
      <c r="D480">
        <v>1</v>
      </c>
      <c r="E480">
        <v>3.5</v>
      </c>
      <c r="F480">
        <v>3.5</v>
      </c>
      <c r="G480" t="s">
        <v>349</v>
      </c>
      <c r="H480" t="s">
        <v>690</v>
      </c>
      <c r="I480" t="s">
        <v>373</v>
      </c>
    </row>
    <row r="481" spans="1:9" x14ac:dyDescent="0.3">
      <c r="A481">
        <v>478</v>
      </c>
      <c r="B481" t="s">
        <v>26</v>
      </c>
      <c r="C481" s="5">
        <v>45825</v>
      </c>
      <c r="D481">
        <v>3</v>
      </c>
      <c r="E481">
        <v>18</v>
      </c>
      <c r="F481">
        <v>54</v>
      </c>
      <c r="G481" t="s">
        <v>352</v>
      </c>
      <c r="H481" t="s">
        <v>353</v>
      </c>
      <c r="I481" t="s">
        <v>366</v>
      </c>
    </row>
    <row r="482" spans="1:9" x14ac:dyDescent="0.3">
      <c r="A482">
        <v>479</v>
      </c>
      <c r="B482" t="s">
        <v>154</v>
      </c>
      <c r="C482" s="5">
        <v>44923</v>
      </c>
      <c r="D482">
        <v>1</v>
      </c>
      <c r="E482">
        <v>35</v>
      </c>
      <c r="F482">
        <v>35</v>
      </c>
      <c r="G482" t="s">
        <v>352</v>
      </c>
      <c r="H482" t="s">
        <v>691</v>
      </c>
      <c r="I482" t="s">
        <v>361</v>
      </c>
    </row>
    <row r="483" spans="1:9" x14ac:dyDescent="0.3">
      <c r="A483">
        <v>480</v>
      </c>
      <c r="B483" t="s">
        <v>105</v>
      </c>
      <c r="C483" s="5">
        <v>45746</v>
      </c>
      <c r="D483">
        <v>3</v>
      </c>
      <c r="E483">
        <v>7.5</v>
      </c>
      <c r="F483">
        <v>22.5</v>
      </c>
      <c r="G483" t="s">
        <v>352</v>
      </c>
      <c r="H483" t="s">
        <v>353</v>
      </c>
      <c r="I483" t="s">
        <v>357</v>
      </c>
    </row>
    <row r="484" spans="1:9" x14ac:dyDescent="0.3">
      <c r="A484">
        <v>481</v>
      </c>
      <c r="B484" t="s">
        <v>302</v>
      </c>
      <c r="C484" s="5">
        <v>45259</v>
      </c>
      <c r="D484">
        <v>6</v>
      </c>
      <c r="E484">
        <v>22</v>
      </c>
      <c r="F484">
        <v>132</v>
      </c>
      <c r="G484" t="s">
        <v>355</v>
      </c>
      <c r="H484" t="s">
        <v>353</v>
      </c>
      <c r="I484" t="s">
        <v>357</v>
      </c>
    </row>
    <row r="485" spans="1:9" x14ac:dyDescent="0.3">
      <c r="A485">
        <v>482</v>
      </c>
      <c r="B485" t="s">
        <v>247</v>
      </c>
      <c r="C485" s="5">
        <v>44985</v>
      </c>
      <c r="D485">
        <v>3</v>
      </c>
      <c r="E485">
        <v>11</v>
      </c>
      <c r="F485">
        <v>33</v>
      </c>
      <c r="G485" t="s">
        <v>355</v>
      </c>
      <c r="H485" t="s">
        <v>692</v>
      </c>
      <c r="I485" t="s">
        <v>354</v>
      </c>
    </row>
    <row r="486" spans="1:9" x14ac:dyDescent="0.3">
      <c r="A486">
        <v>483</v>
      </c>
      <c r="B486" t="s">
        <v>39</v>
      </c>
      <c r="C486" s="5">
        <v>44463</v>
      </c>
      <c r="D486">
        <v>3</v>
      </c>
      <c r="E486">
        <v>4.5</v>
      </c>
      <c r="F486">
        <v>13.5</v>
      </c>
      <c r="G486" t="s">
        <v>349</v>
      </c>
      <c r="H486" t="s">
        <v>353</v>
      </c>
      <c r="I486" t="s">
        <v>360</v>
      </c>
    </row>
    <row r="487" spans="1:9" x14ac:dyDescent="0.3">
      <c r="A487">
        <v>484</v>
      </c>
      <c r="B487" t="s">
        <v>26</v>
      </c>
      <c r="C487" s="5">
        <v>45063</v>
      </c>
      <c r="D487">
        <v>4</v>
      </c>
      <c r="E487">
        <v>18</v>
      </c>
      <c r="F487">
        <v>72</v>
      </c>
      <c r="G487" t="s">
        <v>352</v>
      </c>
      <c r="H487" t="s">
        <v>693</v>
      </c>
      <c r="I487" t="s">
        <v>357</v>
      </c>
    </row>
    <row r="488" spans="1:9" x14ac:dyDescent="0.3">
      <c r="A488">
        <v>485</v>
      </c>
      <c r="B488" t="s">
        <v>51</v>
      </c>
      <c r="C488" s="5">
        <v>44243</v>
      </c>
      <c r="D488">
        <v>3</v>
      </c>
      <c r="E488">
        <v>18</v>
      </c>
      <c r="F488">
        <v>54</v>
      </c>
      <c r="G488" t="s">
        <v>349</v>
      </c>
      <c r="H488" t="s">
        <v>694</v>
      </c>
      <c r="I488" t="s">
        <v>357</v>
      </c>
    </row>
    <row r="489" spans="1:9" x14ac:dyDescent="0.3">
      <c r="A489">
        <v>486</v>
      </c>
      <c r="B489" t="s">
        <v>17</v>
      </c>
      <c r="C489" s="5">
        <v>43875</v>
      </c>
      <c r="D489">
        <v>3</v>
      </c>
      <c r="E489">
        <v>15</v>
      </c>
      <c r="F489">
        <v>45</v>
      </c>
      <c r="G489" t="s">
        <v>355</v>
      </c>
      <c r="H489" t="s">
        <v>695</v>
      </c>
      <c r="I489" t="s">
        <v>374</v>
      </c>
    </row>
    <row r="490" spans="1:9" x14ac:dyDescent="0.3">
      <c r="A490">
        <v>487</v>
      </c>
      <c r="B490" t="s">
        <v>276</v>
      </c>
      <c r="C490" s="5">
        <v>45593</v>
      </c>
      <c r="D490">
        <v>6</v>
      </c>
      <c r="E490">
        <v>8.5</v>
      </c>
      <c r="F490">
        <v>51</v>
      </c>
      <c r="G490" t="s">
        <v>352</v>
      </c>
      <c r="H490" t="s">
        <v>696</v>
      </c>
      <c r="I490" t="s">
        <v>361</v>
      </c>
    </row>
    <row r="491" spans="1:9" x14ac:dyDescent="0.3">
      <c r="A491">
        <v>488</v>
      </c>
      <c r="B491" t="s">
        <v>251</v>
      </c>
      <c r="C491" s="5">
        <v>44037</v>
      </c>
      <c r="D491">
        <v>6</v>
      </c>
      <c r="E491">
        <v>22</v>
      </c>
      <c r="F491">
        <v>132</v>
      </c>
      <c r="G491" t="s">
        <v>349</v>
      </c>
      <c r="H491" t="s">
        <v>697</v>
      </c>
      <c r="I491" t="s">
        <v>361</v>
      </c>
    </row>
    <row r="492" spans="1:9" x14ac:dyDescent="0.3">
      <c r="A492">
        <v>489</v>
      </c>
      <c r="B492" t="s">
        <v>56</v>
      </c>
      <c r="C492" s="5">
        <v>45798</v>
      </c>
      <c r="D492">
        <v>8</v>
      </c>
      <c r="E492">
        <v>55</v>
      </c>
      <c r="F492">
        <v>440</v>
      </c>
      <c r="G492" t="s">
        <v>355</v>
      </c>
      <c r="H492" t="s">
        <v>698</v>
      </c>
      <c r="I492" t="s">
        <v>364</v>
      </c>
    </row>
    <row r="493" spans="1:9" x14ac:dyDescent="0.3">
      <c r="A493">
        <v>490</v>
      </c>
      <c r="B493" t="s">
        <v>216</v>
      </c>
      <c r="C493" s="5">
        <v>45652</v>
      </c>
      <c r="D493">
        <v>10</v>
      </c>
      <c r="E493">
        <v>10</v>
      </c>
      <c r="F493">
        <v>100</v>
      </c>
      <c r="G493" t="s">
        <v>349</v>
      </c>
      <c r="H493" t="s">
        <v>353</v>
      </c>
      <c r="I493" t="s">
        <v>373</v>
      </c>
    </row>
    <row r="494" spans="1:9" x14ac:dyDescent="0.3">
      <c r="A494">
        <v>491</v>
      </c>
      <c r="B494" t="s">
        <v>292</v>
      </c>
      <c r="C494" s="5">
        <v>44605</v>
      </c>
      <c r="D494">
        <v>5</v>
      </c>
      <c r="E494">
        <v>13</v>
      </c>
      <c r="F494">
        <v>65</v>
      </c>
      <c r="G494" t="s">
        <v>355</v>
      </c>
      <c r="H494" t="s">
        <v>699</v>
      </c>
      <c r="I494" t="s">
        <v>377</v>
      </c>
    </row>
    <row r="495" spans="1:9" x14ac:dyDescent="0.3">
      <c r="A495">
        <v>492</v>
      </c>
      <c r="B495" t="s">
        <v>185</v>
      </c>
      <c r="C495" s="5">
        <v>43834</v>
      </c>
      <c r="D495">
        <v>10</v>
      </c>
      <c r="E495">
        <v>28</v>
      </c>
      <c r="F495">
        <v>280</v>
      </c>
      <c r="G495" t="s">
        <v>349</v>
      </c>
      <c r="H495" t="s">
        <v>700</v>
      </c>
      <c r="I495" t="s">
        <v>373</v>
      </c>
    </row>
    <row r="496" spans="1:9" x14ac:dyDescent="0.3">
      <c r="A496">
        <v>493</v>
      </c>
      <c r="B496" t="s">
        <v>288</v>
      </c>
      <c r="C496" s="5">
        <v>44203</v>
      </c>
      <c r="D496">
        <v>10</v>
      </c>
      <c r="E496">
        <v>8.75</v>
      </c>
      <c r="F496">
        <v>87.5</v>
      </c>
      <c r="G496" t="s">
        <v>349</v>
      </c>
      <c r="H496" t="s">
        <v>701</v>
      </c>
      <c r="I496" t="s">
        <v>366</v>
      </c>
    </row>
    <row r="497" spans="1:9" x14ac:dyDescent="0.3">
      <c r="A497">
        <v>494</v>
      </c>
      <c r="B497" t="s">
        <v>56</v>
      </c>
      <c r="C497" s="5">
        <v>44989</v>
      </c>
      <c r="D497">
        <v>2</v>
      </c>
      <c r="E497">
        <v>55</v>
      </c>
      <c r="F497">
        <v>110</v>
      </c>
      <c r="G497" t="s">
        <v>349</v>
      </c>
      <c r="H497" t="s">
        <v>353</v>
      </c>
      <c r="I497" t="s">
        <v>374</v>
      </c>
    </row>
    <row r="498" spans="1:9" x14ac:dyDescent="0.3">
      <c r="A498">
        <v>495</v>
      </c>
      <c r="B498" t="s">
        <v>235</v>
      </c>
      <c r="C498" s="5">
        <v>44541</v>
      </c>
      <c r="D498">
        <v>6</v>
      </c>
      <c r="E498">
        <v>14</v>
      </c>
      <c r="F498">
        <v>84</v>
      </c>
      <c r="G498" t="s">
        <v>352</v>
      </c>
      <c r="H498" t="s">
        <v>702</v>
      </c>
      <c r="I498" t="s">
        <v>357</v>
      </c>
    </row>
    <row r="499" spans="1:9" x14ac:dyDescent="0.3">
      <c r="A499">
        <v>496</v>
      </c>
      <c r="B499" t="s">
        <v>160</v>
      </c>
      <c r="C499" s="5">
        <v>43854</v>
      </c>
      <c r="D499">
        <v>5</v>
      </c>
      <c r="E499">
        <v>85</v>
      </c>
      <c r="F499">
        <v>425</v>
      </c>
      <c r="G499" t="s">
        <v>352</v>
      </c>
      <c r="H499" t="s">
        <v>353</v>
      </c>
      <c r="I499" t="s">
        <v>374</v>
      </c>
    </row>
    <row r="500" spans="1:9" x14ac:dyDescent="0.3">
      <c r="A500">
        <v>497</v>
      </c>
      <c r="B500" t="s">
        <v>105</v>
      </c>
      <c r="C500" s="5">
        <v>44356</v>
      </c>
      <c r="D500">
        <v>2</v>
      </c>
      <c r="E500">
        <v>7.5</v>
      </c>
      <c r="F500">
        <v>15</v>
      </c>
      <c r="G500" t="s">
        <v>355</v>
      </c>
      <c r="H500" t="s">
        <v>353</v>
      </c>
      <c r="I500" t="s">
        <v>361</v>
      </c>
    </row>
    <row r="501" spans="1:9" x14ac:dyDescent="0.3">
      <c r="A501">
        <v>498</v>
      </c>
      <c r="B501" t="s">
        <v>160</v>
      </c>
      <c r="C501" s="5">
        <v>45331</v>
      </c>
      <c r="D501">
        <v>7</v>
      </c>
      <c r="E501">
        <v>85</v>
      </c>
      <c r="F501">
        <v>595</v>
      </c>
      <c r="G501" t="s">
        <v>352</v>
      </c>
      <c r="H501" t="s">
        <v>703</v>
      </c>
      <c r="I501" t="s">
        <v>361</v>
      </c>
    </row>
    <row r="502" spans="1:9" x14ac:dyDescent="0.3">
      <c r="A502">
        <v>499</v>
      </c>
      <c r="B502" t="s">
        <v>105</v>
      </c>
      <c r="C502" s="5">
        <v>44949</v>
      </c>
      <c r="D502">
        <v>7</v>
      </c>
      <c r="E502">
        <v>7.5</v>
      </c>
      <c r="F502">
        <v>52.5</v>
      </c>
      <c r="G502" t="s">
        <v>352</v>
      </c>
      <c r="H502" t="s">
        <v>704</v>
      </c>
      <c r="I502" t="s">
        <v>373</v>
      </c>
    </row>
    <row r="503" spans="1:9" x14ac:dyDescent="0.3">
      <c r="A503">
        <v>500</v>
      </c>
      <c r="B503" t="s">
        <v>134</v>
      </c>
      <c r="C503" s="5">
        <v>45383</v>
      </c>
      <c r="D503">
        <v>4</v>
      </c>
      <c r="E503">
        <v>38</v>
      </c>
      <c r="F503">
        <v>152</v>
      </c>
      <c r="G503" t="s">
        <v>352</v>
      </c>
      <c r="H503" t="s">
        <v>705</v>
      </c>
      <c r="I503" t="s">
        <v>360</v>
      </c>
    </row>
  </sheetData>
  <mergeCells count="1">
    <mergeCell ref="A1:C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3027F-5DB0-41B8-B8A7-1E886E96D88F}">
  <dimension ref="A1:K55"/>
  <sheetViews>
    <sheetView showGridLines="0" zoomScale="105" zoomScaleNormal="107" workbookViewId="0">
      <pane ySplit="5" topLeftCell="A6" activePane="bottomLeft" state="frozen"/>
      <selection pane="bottomLeft" activeCell="H6" sqref="H6"/>
    </sheetView>
  </sheetViews>
  <sheetFormatPr defaultRowHeight="14.4" x14ac:dyDescent="0.3"/>
  <cols>
    <col min="1" max="1" width="14.21875" bestFit="1" customWidth="1"/>
    <col min="2" max="2" width="26.109375" bestFit="1" customWidth="1"/>
    <col min="3" max="3" width="26.109375" customWidth="1"/>
    <col min="4" max="4" width="14.77734375" bestFit="1" customWidth="1"/>
    <col min="5" max="5" width="7.109375" customWidth="1"/>
    <col min="6" max="6" width="14.5546875" customWidth="1"/>
    <col min="7" max="7" width="13" bestFit="1" customWidth="1"/>
    <col min="8" max="8" width="14.33203125" customWidth="1"/>
    <col min="9" max="10" width="15.44140625" bestFit="1" customWidth="1"/>
  </cols>
  <sheetData>
    <row r="1" spans="1:11" ht="32.4" customHeight="1" x14ac:dyDescent="0.65">
      <c r="A1" s="24" t="s">
        <v>733</v>
      </c>
      <c r="B1" s="24"/>
      <c r="C1" s="24"/>
    </row>
    <row r="2" spans="1:11" ht="14.4" customHeight="1" x14ac:dyDescent="0.3">
      <c r="A2" s="25" t="s">
        <v>734</v>
      </c>
      <c r="B2" s="25"/>
      <c r="C2" s="25"/>
      <c r="D2" s="25"/>
      <c r="E2" s="25"/>
      <c r="F2" s="25"/>
      <c r="G2" s="25"/>
      <c r="H2" s="25"/>
    </row>
    <row r="5" spans="1:11" x14ac:dyDescent="0.3">
      <c r="A5" t="s">
        <v>0</v>
      </c>
      <c r="B5" t="s">
        <v>340</v>
      </c>
      <c r="C5" t="s">
        <v>711</v>
      </c>
      <c r="D5" t="s">
        <v>341</v>
      </c>
      <c r="E5" t="s">
        <v>706</v>
      </c>
      <c r="F5" t="s">
        <v>707</v>
      </c>
      <c r="G5" t="s">
        <v>708</v>
      </c>
      <c r="H5" t="s">
        <v>709</v>
      </c>
      <c r="I5" t="s">
        <v>710</v>
      </c>
      <c r="J5" s="20" t="s">
        <v>712</v>
      </c>
      <c r="K5" s="20" t="s">
        <v>330</v>
      </c>
    </row>
    <row r="6" spans="1:11" x14ac:dyDescent="0.3">
      <c r="A6" s="9" t="s">
        <v>206</v>
      </c>
      <c r="B6" s="9" t="str">
        <f>VLOOKUP(TRIM(A6),raw_data!$A:$Q,2,0)</f>
        <v>Insulin Glargine 100U/ml</v>
      </c>
      <c r="C6" s="9" t="str">
        <f>VLOOKUP(TRIM(A6),raw_data!$A:$Q,4,0)</f>
        <v>Antidiabetic</v>
      </c>
      <c r="D6" s="9">
        <f>SUMIF(raw_data!$A$2:$A$101, A6,raw_data!$P$2:$P$101)</f>
        <v>125720</v>
      </c>
      <c r="E6" s="9">
        <f t="shared" ref="E6:E37" si="0">RANK(D6,D$6:D$55,0)</f>
        <v>1</v>
      </c>
      <c r="F6" s="9">
        <f>SUM(D$6:D6)</f>
        <v>125720</v>
      </c>
      <c r="G6" s="9">
        <f t="shared" ref="G6:G37" si="1">SUM(D$6:D$55)</f>
        <v>591208.75</v>
      </c>
      <c r="H6" s="9">
        <f t="shared" ref="H6:H37" si="2">ROUND((F6/G6)*100,2)</f>
        <v>21.26</v>
      </c>
      <c r="I6" s="19" t="str">
        <f t="shared" ref="I6:I37" si="3">IF(H6&lt;=70,"A - High Value",IF(H6&lt;=90,"B - Medium Value","C - Low Value"))</f>
        <v>A - High Value</v>
      </c>
      <c r="J6" s="9" t="s">
        <v>714</v>
      </c>
      <c r="K6" s="9">
        <f>COUNTIF(I:I,"A - High Value")</f>
        <v>12</v>
      </c>
    </row>
    <row r="7" spans="1:11" x14ac:dyDescent="0.3">
      <c r="A7" s="9" t="s">
        <v>160</v>
      </c>
      <c r="B7" s="9" t="str">
        <f>VLOOKUP(TRIM(A7),raw_data!$A:$Q,2,0)</f>
        <v>Ceftriaxone 1g Injection</v>
      </c>
      <c r="C7" s="9" t="str">
        <f>VLOOKUP(TRIM(A7),raw_data!$A:$Q,4,0)</f>
        <v>Antibiotic</v>
      </c>
      <c r="D7" s="9">
        <f>SUMIF(raw_data!$A$2:$A$101, A7,raw_data!$P$2:$P$101)</f>
        <v>64090</v>
      </c>
      <c r="E7" s="9">
        <f t="shared" si="0"/>
        <v>2</v>
      </c>
      <c r="F7" s="9">
        <f>SUM(D$6:D7)</f>
        <v>189810</v>
      </c>
      <c r="G7" s="9">
        <f t="shared" si="1"/>
        <v>591208.75</v>
      </c>
      <c r="H7" s="9">
        <f t="shared" si="2"/>
        <v>32.11</v>
      </c>
      <c r="I7" s="19" t="str">
        <f t="shared" si="3"/>
        <v>A - High Value</v>
      </c>
      <c r="J7" s="9" t="s">
        <v>715</v>
      </c>
      <c r="K7" s="9">
        <f>COUNTIF(I:I,"B - Medium Value")</f>
        <v>14</v>
      </c>
    </row>
    <row r="8" spans="1:11" x14ac:dyDescent="0.3">
      <c r="A8" s="9" t="s">
        <v>266</v>
      </c>
      <c r="B8" s="9" t="str">
        <f>VLOOKUP(TRIM(A8),raw_data!$A:$Q,2,0)</f>
        <v>Morphine 10mg Injection</v>
      </c>
      <c r="C8" s="9" t="str">
        <f>VLOOKUP(TRIM(A8),raw_data!$A:$Q,4,0)</f>
        <v>Opioid Analgesic</v>
      </c>
      <c r="D8" s="9">
        <f>SUMIF(raw_data!$A$2:$A$101, A8,raw_data!$P$2:$P$101)</f>
        <v>39900</v>
      </c>
      <c r="E8" s="9">
        <f t="shared" si="0"/>
        <v>3</v>
      </c>
      <c r="F8" s="9">
        <f>SUM(D$6:D8)</f>
        <v>229710</v>
      </c>
      <c r="G8" s="9">
        <f t="shared" si="1"/>
        <v>591208.75</v>
      </c>
      <c r="H8" s="9">
        <f t="shared" si="2"/>
        <v>38.85</v>
      </c>
      <c r="I8" s="19" t="str">
        <f t="shared" si="3"/>
        <v>A - High Value</v>
      </c>
      <c r="J8" s="9" t="s">
        <v>716</v>
      </c>
      <c r="K8" s="9">
        <f>COUNTIF(I:I,"C - Low Value")</f>
        <v>24</v>
      </c>
    </row>
    <row r="9" spans="1:11" x14ac:dyDescent="0.3">
      <c r="A9" s="9" t="s">
        <v>120</v>
      </c>
      <c r="B9" s="9" t="str">
        <f>VLOOKUP(TRIM(A9),raw_data!$A:$Q,2,0)</f>
        <v>Eye Drops Ciprofloxacin 0.3%</v>
      </c>
      <c r="C9" s="9" t="str">
        <f>VLOOKUP(TRIM(A9),raw_data!$A:$Q,4,0)</f>
        <v>Antibiotic</v>
      </c>
      <c r="D9" s="9">
        <f>SUMIF(raw_data!$A$2:$A$101, A9,raw_data!$P$2:$P$101)</f>
        <v>33110</v>
      </c>
      <c r="E9" s="9">
        <f t="shared" si="0"/>
        <v>4</v>
      </c>
      <c r="F9" s="9">
        <f>SUM(D$6:D9)</f>
        <v>262820</v>
      </c>
      <c r="G9" s="9">
        <f t="shared" si="1"/>
        <v>591208.75</v>
      </c>
      <c r="H9" s="9">
        <f t="shared" si="2"/>
        <v>44.45</v>
      </c>
      <c r="I9" s="9" t="str">
        <f t="shared" si="3"/>
        <v>A - High Value</v>
      </c>
    </row>
    <row r="10" spans="1:11" x14ac:dyDescent="0.3">
      <c r="A10" s="9" t="s">
        <v>134</v>
      </c>
      <c r="B10" s="9" t="str">
        <f>VLOOKUP(TRIM(A10),raw_data!$A:$Q,2,0)</f>
        <v>Cough Syrup 100ml</v>
      </c>
      <c r="C10" s="9" t="str">
        <f>VLOOKUP(TRIM(A10),raw_data!$A:$Q,4,0)</f>
        <v>Cough Suppressant</v>
      </c>
      <c r="D10" s="9">
        <f>SUMIF(raw_data!$A$2:$A$101, A10,raw_data!$P$2:$P$101)</f>
        <v>29716</v>
      </c>
      <c r="E10" s="9">
        <f t="shared" si="0"/>
        <v>5</v>
      </c>
      <c r="F10" s="9">
        <f>SUM(D$6:D10)</f>
        <v>292536</v>
      </c>
      <c r="G10" s="9">
        <f t="shared" si="1"/>
        <v>591208.75</v>
      </c>
      <c r="H10" s="9">
        <f t="shared" si="2"/>
        <v>49.48</v>
      </c>
      <c r="I10" s="9" t="str">
        <f t="shared" si="3"/>
        <v>A - High Value</v>
      </c>
    </row>
    <row r="11" spans="1:11" x14ac:dyDescent="0.3">
      <c r="A11" s="9" t="s">
        <v>185</v>
      </c>
      <c r="B11" s="9" t="str">
        <f>VLOOKUP(TRIM(A11),raw_data!$A:$Q,2,0)</f>
        <v>Hydrocortisone Cream 1%</v>
      </c>
      <c r="C11" s="9" t="str">
        <f>VLOOKUP(TRIM(A11),raw_data!$A:$Q,4,0)</f>
        <v>Corticosteroid</v>
      </c>
      <c r="D11" s="9">
        <f>SUMIF(raw_data!$A$2:$A$101, A11,raw_data!$P$2:$P$101)</f>
        <v>17668</v>
      </c>
      <c r="E11" s="9">
        <f t="shared" si="0"/>
        <v>6</v>
      </c>
      <c r="F11" s="9">
        <f>SUM(D$6:D11)</f>
        <v>310204</v>
      </c>
      <c r="G11" s="9">
        <f t="shared" si="1"/>
        <v>591208.75</v>
      </c>
      <c r="H11" s="9">
        <f t="shared" si="2"/>
        <v>52.47</v>
      </c>
      <c r="I11" s="9" t="str">
        <f t="shared" si="3"/>
        <v>A - High Value</v>
      </c>
    </row>
    <row r="12" spans="1:11" x14ac:dyDescent="0.3">
      <c r="A12" s="9" t="s">
        <v>164</v>
      </c>
      <c r="B12" s="9" t="str">
        <f>VLOOKUP(TRIM(A12),raw_data!$A:$Q,2,0)</f>
        <v>Salbutamol Inhaler 100mcg</v>
      </c>
      <c r="C12" s="9" t="str">
        <f>VLOOKUP(TRIM(A12),raw_data!$A:$Q,4,0)</f>
        <v>Bronchodilator</v>
      </c>
      <c r="D12" s="9">
        <f>SUMIF(raw_data!$A$2:$A$101, A12,raw_data!$P$2:$P$101)</f>
        <v>17280</v>
      </c>
      <c r="E12" s="9">
        <f t="shared" si="0"/>
        <v>7</v>
      </c>
      <c r="F12" s="9">
        <f>SUM(D$6:D12)</f>
        <v>327484</v>
      </c>
      <c r="G12" s="9">
        <f t="shared" si="1"/>
        <v>591208.75</v>
      </c>
      <c r="H12" s="9">
        <f t="shared" si="2"/>
        <v>55.39</v>
      </c>
      <c r="I12" s="9" t="str">
        <f t="shared" si="3"/>
        <v>A - High Value</v>
      </c>
    </row>
    <row r="13" spans="1:11" x14ac:dyDescent="0.3">
      <c r="A13" s="9" t="s">
        <v>256</v>
      </c>
      <c r="B13" s="9" t="str">
        <f>VLOOKUP(TRIM(A13),raw_data!$A:$Q,2,0)</f>
        <v>Antacid Suspension 200ml</v>
      </c>
      <c r="C13" s="9" t="str">
        <f>VLOOKUP(TRIM(A13),raw_data!$A:$Q,4,0)</f>
        <v>Antacid</v>
      </c>
      <c r="D13" s="9">
        <f>SUMIF(raw_data!$A$2:$A$101, A13,raw_data!$P$2:$P$101)</f>
        <v>16288</v>
      </c>
      <c r="E13" s="9">
        <f t="shared" si="0"/>
        <v>8</v>
      </c>
      <c r="F13" s="9">
        <f>SUM(D$6:D13)</f>
        <v>343772</v>
      </c>
      <c r="G13" s="9">
        <f t="shared" si="1"/>
        <v>591208.75</v>
      </c>
      <c r="H13" s="9">
        <f t="shared" si="2"/>
        <v>58.15</v>
      </c>
      <c r="I13" s="9" t="str">
        <f t="shared" si="3"/>
        <v>A - High Value</v>
      </c>
    </row>
    <row r="14" spans="1:11" x14ac:dyDescent="0.3">
      <c r="A14" s="9" t="s">
        <v>124</v>
      </c>
      <c r="B14" s="9" t="str">
        <f>VLOOKUP(TRIM(A14),raw_data!$A:$Q,2,0)</f>
        <v>Azithromycin 250mg Tablets</v>
      </c>
      <c r="C14" s="9" t="str">
        <f>VLOOKUP(TRIM(A14),raw_data!$A:$Q,4,0)</f>
        <v>Antibiotic</v>
      </c>
      <c r="D14" s="9">
        <f>SUMIF(raw_data!$A$2:$A$101, A14,raw_data!$P$2:$P$101)</f>
        <v>16148</v>
      </c>
      <c r="E14" s="9">
        <f t="shared" si="0"/>
        <v>9</v>
      </c>
      <c r="F14" s="9">
        <f>SUM(D$6:D14)</f>
        <v>359920</v>
      </c>
      <c r="G14" s="9">
        <f t="shared" si="1"/>
        <v>591208.75</v>
      </c>
      <c r="H14" s="9">
        <f t="shared" si="2"/>
        <v>60.88</v>
      </c>
      <c r="I14" s="9" t="str">
        <f t="shared" si="3"/>
        <v>A - High Value</v>
      </c>
    </row>
    <row r="15" spans="1:11" x14ac:dyDescent="0.3">
      <c r="A15" s="9" t="s">
        <v>26</v>
      </c>
      <c r="B15" s="9" t="str">
        <f>VLOOKUP(TRIM(A15),raw_data!$A:$Q,2,0)</f>
        <v>Ciprofloxacin 500mg Tablets</v>
      </c>
      <c r="C15" s="9" t="str">
        <f>VLOOKUP(TRIM(A15),raw_data!$A:$Q,4,0)</f>
        <v>Antibiotic</v>
      </c>
      <c r="D15" s="9">
        <f>SUMIF(raw_data!$A$2:$A$101, A15,raw_data!$P$2:$P$101)</f>
        <v>15804</v>
      </c>
      <c r="E15" s="9">
        <f t="shared" si="0"/>
        <v>10</v>
      </c>
      <c r="F15" s="9">
        <f>SUM(D$6:D15)</f>
        <v>375724</v>
      </c>
      <c r="G15" s="9">
        <f t="shared" si="1"/>
        <v>591208.75</v>
      </c>
      <c r="H15" s="9">
        <f t="shared" si="2"/>
        <v>63.55</v>
      </c>
      <c r="I15" s="9" t="str">
        <f t="shared" si="3"/>
        <v>A - High Value</v>
      </c>
    </row>
    <row r="16" spans="1:11" x14ac:dyDescent="0.3">
      <c r="A16" s="9" t="s">
        <v>100</v>
      </c>
      <c r="B16" s="9" t="str">
        <f>VLOOKUP(TRIM(A16),raw_data!$A:$Q,2,0)</f>
        <v>Fluconazole 150mg Capsules</v>
      </c>
      <c r="C16" s="9" t="str">
        <f>VLOOKUP(TRIM(A16),raw_data!$A:$Q,4,0)</f>
        <v>Antifungal</v>
      </c>
      <c r="D16" s="9">
        <f>SUMIF(raw_data!$A$2:$A$101, A16,raw_data!$P$2:$P$101)</f>
        <v>14000</v>
      </c>
      <c r="E16" s="9">
        <f t="shared" si="0"/>
        <v>11</v>
      </c>
      <c r="F16" s="9">
        <f>SUM(D$6:D16)</f>
        <v>389724</v>
      </c>
      <c r="G16" s="9">
        <f t="shared" si="1"/>
        <v>591208.75</v>
      </c>
      <c r="H16" s="9">
        <f t="shared" si="2"/>
        <v>65.92</v>
      </c>
      <c r="I16" s="9" t="str">
        <f t="shared" si="3"/>
        <v>A - High Value</v>
      </c>
    </row>
    <row r="17" spans="1:9" x14ac:dyDescent="0.3">
      <c r="A17" s="9" t="s">
        <v>109</v>
      </c>
      <c r="B17" s="9" t="str">
        <f>VLOOKUP(TRIM(A17),raw_data!$A:$Q,2,0)</f>
        <v>Tramadol 50mg Capsules</v>
      </c>
      <c r="C17" s="9" t="str">
        <f>VLOOKUP(TRIM(A17),raw_data!$A:$Q,4,0)</f>
        <v>Opioid Analgesic</v>
      </c>
      <c r="D17" s="9">
        <f>SUMIF(raw_data!$A$2:$A$101, A17,raw_data!$P$2:$P$101)</f>
        <v>12300</v>
      </c>
      <c r="E17" s="9">
        <f t="shared" si="0"/>
        <v>12</v>
      </c>
      <c r="F17" s="9">
        <f>SUM(D$6:D17)</f>
        <v>402024</v>
      </c>
      <c r="G17" s="9">
        <f t="shared" si="1"/>
        <v>591208.75</v>
      </c>
      <c r="H17" s="9">
        <f t="shared" si="2"/>
        <v>68</v>
      </c>
      <c r="I17" s="9" t="str">
        <f t="shared" si="3"/>
        <v>A - High Value</v>
      </c>
    </row>
    <row r="18" spans="1:9" x14ac:dyDescent="0.3">
      <c r="A18" s="9" t="s">
        <v>154</v>
      </c>
      <c r="B18" s="9" t="str">
        <f>VLOOKUP(TRIM(A18),raw_data!$A:$Q,2,0)</f>
        <v>Dexamethasone 4mg Injection</v>
      </c>
      <c r="C18" s="9" t="str">
        <f>VLOOKUP(TRIM(A18),raw_data!$A:$Q,4,0)</f>
        <v>Corticosteroid</v>
      </c>
      <c r="D18" s="9">
        <f>SUMIF(raw_data!$A$2:$A$101, A18,raw_data!$P$2:$P$101)</f>
        <v>12145</v>
      </c>
      <c r="E18" s="9">
        <f t="shared" si="0"/>
        <v>13</v>
      </c>
      <c r="F18" s="9">
        <f>SUM(D$6:D18)</f>
        <v>414169</v>
      </c>
      <c r="G18" s="9">
        <f t="shared" si="1"/>
        <v>591208.75</v>
      </c>
      <c r="H18" s="9">
        <f t="shared" si="2"/>
        <v>70.05</v>
      </c>
      <c r="I18" s="9" t="str">
        <f t="shared" si="3"/>
        <v>B - Medium Value</v>
      </c>
    </row>
    <row r="19" spans="1:9" x14ac:dyDescent="0.3">
      <c r="A19" s="9" t="s">
        <v>128</v>
      </c>
      <c r="B19" s="9" t="str">
        <f>VLOOKUP(TRIM(A19),raw_data!$A:$Q,2,0)</f>
        <v>Ondansetron 4mg Tablets</v>
      </c>
      <c r="C19" s="9" t="str">
        <f>VLOOKUP(TRIM(A19),raw_data!$A:$Q,4,0)</f>
        <v>Antiemetic</v>
      </c>
      <c r="D19" s="9">
        <f>SUMIF(raw_data!$A$2:$A$101, A19,raw_data!$P$2:$P$101)</f>
        <v>11248</v>
      </c>
      <c r="E19" s="9">
        <f t="shared" si="0"/>
        <v>14</v>
      </c>
      <c r="F19" s="9">
        <f>SUM(D$6:D19)</f>
        <v>425417</v>
      </c>
      <c r="G19" s="9">
        <f t="shared" si="1"/>
        <v>591208.75</v>
      </c>
      <c r="H19" s="9">
        <f t="shared" si="2"/>
        <v>71.959999999999994</v>
      </c>
      <c r="I19" s="9" t="str">
        <f t="shared" si="3"/>
        <v>B - Medium Value</v>
      </c>
    </row>
    <row r="20" spans="1:9" x14ac:dyDescent="0.3">
      <c r="A20" s="9" t="s">
        <v>51</v>
      </c>
      <c r="B20" s="9" t="str">
        <f>VLOOKUP(TRIM(A20),raw_data!$A:$Q,2,0)</f>
        <v>Warfarin 5mg Tablets</v>
      </c>
      <c r="C20" s="9" t="str">
        <f>VLOOKUP(TRIM(A20),raw_data!$A:$Q,4,0)</f>
        <v>Anticoagulant</v>
      </c>
      <c r="D20" s="9">
        <f>SUMIF(raw_data!$A$2:$A$101, A20,raw_data!$P$2:$P$101)</f>
        <v>11016</v>
      </c>
      <c r="E20" s="9">
        <f t="shared" si="0"/>
        <v>15</v>
      </c>
      <c r="F20" s="9">
        <f>SUM(D$6:D20)</f>
        <v>436433</v>
      </c>
      <c r="G20" s="9">
        <f t="shared" si="1"/>
        <v>591208.75</v>
      </c>
      <c r="H20" s="9">
        <f t="shared" si="2"/>
        <v>73.819999999999993</v>
      </c>
      <c r="I20" s="9" t="str">
        <f t="shared" si="3"/>
        <v>B - Medium Value</v>
      </c>
    </row>
    <row r="21" spans="1:9" x14ac:dyDescent="0.3">
      <c r="A21" s="9" t="s">
        <v>247</v>
      </c>
      <c r="B21" s="9" t="str">
        <f>VLOOKUP(TRIM(A21),raw_data!$A:$Q,2,0)</f>
        <v>Rabeprazole 20mg Tablets</v>
      </c>
      <c r="C21" s="9" t="str">
        <f>VLOOKUP(TRIM(A21),raw_data!$A:$Q,4,0)</f>
        <v>Antacid</v>
      </c>
      <c r="D21" s="9">
        <f>SUMIF(raw_data!$A$2:$A$101, A21,raw_data!$P$2:$P$101)</f>
        <v>10384</v>
      </c>
      <c r="E21" s="9">
        <f t="shared" si="0"/>
        <v>16</v>
      </c>
      <c r="F21" s="9">
        <f>SUM(D$6:D21)</f>
        <v>446817</v>
      </c>
      <c r="G21" s="9">
        <f t="shared" si="1"/>
        <v>591208.75</v>
      </c>
      <c r="H21" s="9">
        <f t="shared" si="2"/>
        <v>75.58</v>
      </c>
      <c r="I21" s="9" t="str">
        <f t="shared" si="3"/>
        <v>B - Medium Value</v>
      </c>
    </row>
    <row r="22" spans="1:9" x14ac:dyDescent="0.3">
      <c r="A22" s="9" t="s">
        <v>144</v>
      </c>
      <c r="B22" s="9" t="str">
        <f>VLOOKUP(TRIM(A22),raw_data!$A:$Q,2,0)</f>
        <v>Clopidogrel 75mg Tablets</v>
      </c>
      <c r="C22" s="9" t="str">
        <f>VLOOKUP(TRIM(A22),raw_data!$A:$Q,4,0)</f>
        <v>Antiplatelet</v>
      </c>
      <c r="D22" s="9">
        <f>SUMIF(raw_data!$A$2:$A$101, A22,raw_data!$P$2:$P$101)</f>
        <v>10280</v>
      </c>
      <c r="E22" s="9">
        <f t="shared" si="0"/>
        <v>17</v>
      </c>
      <c r="F22" s="9">
        <f>SUM(D$6:D22)</f>
        <v>457097</v>
      </c>
      <c r="G22" s="9">
        <f t="shared" si="1"/>
        <v>591208.75</v>
      </c>
      <c r="H22" s="9">
        <f t="shared" si="2"/>
        <v>77.319999999999993</v>
      </c>
      <c r="I22" s="9" t="str">
        <f t="shared" si="3"/>
        <v>B - Medium Value</v>
      </c>
    </row>
    <row r="23" spans="1:9" x14ac:dyDescent="0.3">
      <c r="A23" s="9" t="s">
        <v>211</v>
      </c>
      <c r="B23" s="9" t="str">
        <f>VLOOKUP(TRIM(A23),raw_data!$A:$Q,2,0)</f>
        <v>Erythromycin 500mg Tablets</v>
      </c>
      <c r="C23" s="9" t="str">
        <f>VLOOKUP(TRIM(A23),raw_data!$A:$Q,4,0)</f>
        <v>Antibiotic</v>
      </c>
      <c r="D23" s="9">
        <f>SUMIF(raw_data!$A$2:$A$101, A23,raw_data!$P$2:$P$101)</f>
        <v>9177</v>
      </c>
      <c r="E23" s="9">
        <f t="shared" si="0"/>
        <v>18</v>
      </c>
      <c r="F23" s="9">
        <f>SUM(D$6:D23)</f>
        <v>466274</v>
      </c>
      <c r="G23" s="9">
        <f t="shared" si="1"/>
        <v>591208.75</v>
      </c>
      <c r="H23" s="9">
        <f t="shared" si="2"/>
        <v>78.87</v>
      </c>
      <c r="I23" s="9" t="str">
        <f t="shared" si="3"/>
        <v>B - Medium Value</v>
      </c>
    </row>
    <row r="24" spans="1:9" x14ac:dyDescent="0.3">
      <c r="A24" s="9" t="s">
        <v>292</v>
      </c>
      <c r="B24" s="9" t="str">
        <f>VLOOKUP(TRIM(A24),raw_data!$A:$Q,2,0)</f>
        <v>Lisinopril 10mg Tablets</v>
      </c>
      <c r="C24" s="9" t="str">
        <f>VLOOKUP(TRIM(A24),raw_data!$A:$Q,4,0)</f>
        <v>Antihypertensive</v>
      </c>
      <c r="D24" s="9">
        <f>SUMIF(raw_data!$A$2:$A$101, A24,raw_data!$P$2:$P$101)</f>
        <v>8463</v>
      </c>
      <c r="E24" s="9">
        <f t="shared" si="0"/>
        <v>19</v>
      </c>
      <c r="F24" s="9">
        <f>SUM(D$6:D24)</f>
        <v>474737</v>
      </c>
      <c r="G24" s="9">
        <f t="shared" si="1"/>
        <v>591208.75</v>
      </c>
      <c r="H24" s="9">
        <f t="shared" si="2"/>
        <v>80.3</v>
      </c>
      <c r="I24" s="9" t="str">
        <f t="shared" si="3"/>
        <v>B - Medium Value</v>
      </c>
    </row>
    <row r="25" spans="1:9" x14ac:dyDescent="0.3">
      <c r="A25" s="9" t="s">
        <v>302</v>
      </c>
      <c r="B25" s="9" t="str">
        <f>VLOOKUP(TRIM(A25),raw_data!$A:$Q,2,0)</f>
        <v>Clotrimazole Cream 1%</v>
      </c>
      <c r="C25" s="9" t="str">
        <f>VLOOKUP(TRIM(A25),raw_data!$A:$Q,4,0)</f>
        <v>Antifungal</v>
      </c>
      <c r="D25" s="9">
        <f>SUMIF(raw_data!$A$2:$A$101, A25,raw_data!$P$2:$P$101)</f>
        <v>8272</v>
      </c>
      <c r="E25" s="9">
        <f t="shared" si="0"/>
        <v>20</v>
      </c>
      <c r="F25" s="9">
        <f>SUM(D$6:D25)</f>
        <v>483009</v>
      </c>
      <c r="G25" s="9">
        <f t="shared" si="1"/>
        <v>591208.75</v>
      </c>
      <c r="H25" s="9">
        <f t="shared" si="2"/>
        <v>81.7</v>
      </c>
      <c r="I25" s="9" t="str">
        <f t="shared" si="3"/>
        <v>B - Medium Value</v>
      </c>
    </row>
    <row r="26" spans="1:9" x14ac:dyDescent="0.3">
      <c r="A26" s="9" t="s">
        <v>235</v>
      </c>
      <c r="B26" s="9" t="str">
        <f>VLOOKUP(TRIM(A26),raw_data!$A:$Q,2,0)</f>
        <v>Losartan 50mg Tablets</v>
      </c>
      <c r="C26" s="9" t="str">
        <f>VLOOKUP(TRIM(A26),raw_data!$A:$Q,4,0)</f>
        <v>Antihypertensive</v>
      </c>
      <c r="D26" s="9">
        <f>SUMIF(raw_data!$A$2:$A$101, A26,raw_data!$P$2:$P$101)</f>
        <v>8246</v>
      </c>
      <c r="E26" s="9">
        <f t="shared" si="0"/>
        <v>21</v>
      </c>
      <c r="F26" s="9">
        <f>SUM(D$6:D26)</f>
        <v>491255</v>
      </c>
      <c r="G26" s="9">
        <f t="shared" si="1"/>
        <v>591208.75</v>
      </c>
      <c r="H26" s="9">
        <f t="shared" si="2"/>
        <v>83.09</v>
      </c>
      <c r="I26" s="9" t="str">
        <f t="shared" si="3"/>
        <v>B - Medium Value</v>
      </c>
    </row>
    <row r="27" spans="1:9" x14ac:dyDescent="0.3">
      <c r="A27" s="9" t="s">
        <v>216</v>
      </c>
      <c r="B27" s="9" t="str">
        <f>VLOOKUP(TRIM(A27),raw_data!$A:$Q,2,0)</f>
        <v>Phenytoin 100mg Tablets</v>
      </c>
      <c r="C27" s="9" t="str">
        <f>VLOOKUP(TRIM(A27),raw_data!$A:$Q,4,0)</f>
        <v>Anticonvulsant</v>
      </c>
      <c r="D27" s="9">
        <f>SUMIF(raw_data!$A$2:$A$101, A27,raw_data!$P$2:$P$101)</f>
        <v>7930</v>
      </c>
      <c r="E27" s="9">
        <f t="shared" si="0"/>
        <v>22</v>
      </c>
      <c r="F27" s="9">
        <f>SUM(D$6:D27)</f>
        <v>499185</v>
      </c>
      <c r="G27" s="9">
        <f t="shared" si="1"/>
        <v>591208.75</v>
      </c>
      <c r="H27" s="9">
        <f t="shared" si="2"/>
        <v>84.43</v>
      </c>
      <c r="I27" s="9" t="str">
        <f t="shared" si="3"/>
        <v>B - Medium Value</v>
      </c>
    </row>
    <row r="28" spans="1:9" x14ac:dyDescent="0.3">
      <c r="A28" s="9" t="s">
        <v>171</v>
      </c>
      <c r="B28" s="9" t="str">
        <f>VLOOKUP(TRIM(A28),raw_data!$A:$Q,2,0)</f>
        <v>Amitriptyline 25mg Tablets</v>
      </c>
      <c r="C28" s="9" t="str">
        <f>VLOOKUP(TRIM(A28),raw_data!$A:$Q,4,0)</f>
        <v>Antidepressant</v>
      </c>
      <c r="D28" s="9">
        <f>SUMIF(raw_data!$A$2:$A$101, A28,raw_data!$P$2:$P$101)</f>
        <v>7866</v>
      </c>
      <c r="E28" s="9">
        <f t="shared" si="0"/>
        <v>23</v>
      </c>
      <c r="F28" s="9">
        <f>SUM(D$6:D28)</f>
        <v>507051</v>
      </c>
      <c r="G28" s="9">
        <f t="shared" si="1"/>
        <v>591208.75</v>
      </c>
      <c r="H28" s="9">
        <f t="shared" si="2"/>
        <v>85.77</v>
      </c>
      <c r="I28" s="9" t="str">
        <f t="shared" si="3"/>
        <v>B - Medium Value</v>
      </c>
    </row>
    <row r="29" spans="1:9" x14ac:dyDescent="0.3">
      <c r="A29" s="9" t="s">
        <v>70</v>
      </c>
      <c r="B29" s="9" t="str">
        <f>VLOOKUP(TRIM(A29),raw_data!$A:$Q,2,0)</f>
        <v>Amlodipine 5mg Tablets</v>
      </c>
      <c r="C29" s="9" t="str">
        <f>VLOOKUP(TRIM(A29),raw_data!$A:$Q,4,0)</f>
        <v>Antihypertensive</v>
      </c>
      <c r="D29" s="9">
        <f>SUMIF(raw_data!$A$2:$A$101, A29,raw_data!$P$2:$P$101)</f>
        <v>7601</v>
      </c>
      <c r="E29" s="9">
        <f t="shared" si="0"/>
        <v>24</v>
      </c>
      <c r="F29" s="9">
        <f>SUM(D$6:D29)</f>
        <v>514652</v>
      </c>
      <c r="G29" s="9">
        <f t="shared" si="1"/>
        <v>591208.75</v>
      </c>
      <c r="H29" s="9">
        <f t="shared" si="2"/>
        <v>87.05</v>
      </c>
      <c r="I29" s="9" t="str">
        <f t="shared" si="3"/>
        <v>B - Medium Value</v>
      </c>
    </row>
    <row r="30" spans="1:9" x14ac:dyDescent="0.3">
      <c r="A30" s="9" t="s">
        <v>149</v>
      </c>
      <c r="B30" s="9" t="str">
        <f>VLOOKUP(TRIM(A30),raw_data!$A:$Q,2,0)</f>
        <v>Prednisolone 5mg Tablets</v>
      </c>
      <c r="C30" s="9" t="str">
        <f>VLOOKUP(TRIM(A30),raw_data!$A:$Q,4,0)</f>
        <v>Corticosteroid</v>
      </c>
      <c r="D30" s="9">
        <f>SUMIF(raw_data!$A$2:$A$101, A30,raw_data!$P$2:$P$101)</f>
        <v>6704.5</v>
      </c>
      <c r="E30" s="9">
        <f t="shared" si="0"/>
        <v>25</v>
      </c>
      <c r="F30" s="9">
        <f>SUM(D$6:D30)</f>
        <v>521356.5</v>
      </c>
      <c r="G30" s="9">
        <f t="shared" si="1"/>
        <v>591208.75</v>
      </c>
      <c r="H30" s="9">
        <f t="shared" si="2"/>
        <v>88.18</v>
      </c>
      <c r="I30" s="9" t="str">
        <f t="shared" si="3"/>
        <v>B - Medium Value</v>
      </c>
    </row>
    <row r="31" spans="1:9" x14ac:dyDescent="0.3">
      <c r="A31" s="9" t="s">
        <v>45</v>
      </c>
      <c r="B31" s="9" t="str">
        <f>VLOOKUP(TRIM(A31),raw_data!$A:$Q,2,0)</f>
        <v>Levofloxacin 500mg Tablets</v>
      </c>
      <c r="C31" s="9" t="str">
        <f>VLOOKUP(TRIM(A31),raw_data!$A:$Q,4,0)</f>
        <v>Antibiotic</v>
      </c>
      <c r="D31" s="9">
        <f>SUMIF(raw_data!$A$2:$A$101, A31,raw_data!$P$2:$P$101)</f>
        <v>6300</v>
      </c>
      <c r="E31" s="9">
        <f t="shared" si="0"/>
        <v>26</v>
      </c>
      <c r="F31" s="9">
        <f>SUM(D$6:D31)</f>
        <v>527656.5</v>
      </c>
      <c r="G31" s="9">
        <f t="shared" si="1"/>
        <v>591208.75</v>
      </c>
      <c r="H31" s="9">
        <f t="shared" si="2"/>
        <v>89.25</v>
      </c>
      <c r="I31" s="9" t="str">
        <f t="shared" si="3"/>
        <v>B - Medium Value</v>
      </c>
    </row>
    <row r="32" spans="1:9" x14ac:dyDescent="0.3">
      <c r="A32" s="9" t="s">
        <v>276</v>
      </c>
      <c r="B32" s="9" t="str">
        <f>VLOOKUP(TRIM(A32),raw_data!$A:$Q,2,0)</f>
        <v>Naproxen 250mg Tablets</v>
      </c>
      <c r="C32" s="9" t="str">
        <f>VLOOKUP(TRIM(A32),raw_data!$A:$Q,4,0)</f>
        <v>NSAID</v>
      </c>
      <c r="D32" s="9">
        <f>SUMIF(raw_data!$A$2:$A$101, A32,raw_data!$P$2:$P$101)</f>
        <v>5159.5</v>
      </c>
      <c r="E32" s="9">
        <f t="shared" si="0"/>
        <v>27</v>
      </c>
      <c r="F32" s="9">
        <f>SUM(D$6:D32)</f>
        <v>532816</v>
      </c>
      <c r="G32" s="9">
        <f t="shared" si="1"/>
        <v>591208.75</v>
      </c>
      <c r="H32" s="9">
        <f t="shared" si="2"/>
        <v>90.12</v>
      </c>
      <c r="I32" s="9" t="str">
        <f t="shared" si="3"/>
        <v>C - Low Value</v>
      </c>
    </row>
    <row r="33" spans="1:9" x14ac:dyDescent="0.3">
      <c r="A33" s="9" t="s">
        <v>75</v>
      </c>
      <c r="B33" s="9" t="str">
        <f>VLOOKUP(TRIM(A33),raw_data!$A:$Q,2,0)</f>
        <v>Pantoprazole 40mg Tablets</v>
      </c>
      <c r="C33" s="9" t="str">
        <f>VLOOKUP(TRIM(A33),raw_data!$A:$Q,4,0)</f>
        <v>Antacid</v>
      </c>
      <c r="D33" s="9">
        <f>SUMIF(raw_data!$A$2:$A$101, A33,raw_data!$P$2:$P$101)</f>
        <v>4735.5</v>
      </c>
      <c r="E33" s="9">
        <f t="shared" si="0"/>
        <v>28</v>
      </c>
      <c r="F33" s="9">
        <f>SUM(D$6:D33)</f>
        <v>537551.5</v>
      </c>
      <c r="G33" s="9">
        <f t="shared" si="1"/>
        <v>591208.75</v>
      </c>
      <c r="H33" s="9">
        <f t="shared" si="2"/>
        <v>90.92</v>
      </c>
      <c r="I33" s="9" t="str">
        <f t="shared" si="3"/>
        <v>C - Low Value</v>
      </c>
    </row>
    <row r="34" spans="1:9" x14ac:dyDescent="0.3">
      <c r="A34" s="9" t="s">
        <v>243</v>
      </c>
      <c r="B34" s="9" t="str">
        <f>VLOOKUP(TRIM(A34),raw_data!$A:$Q,2,0)</f>
        <v>Calcium + Vitamin D3 Tablet</v>
      </c>
      <c r="C34" s="9" t="str">
        <f>VLOOKUP(TRIM(A34),raw_data!$A:$Q,4,0)</f>
        <v>Supplement</v>
      </c>
      <c r="D34" s="9">
        <f>SUMIF(raw_data!$A$2:$A$101, A34,raw_data!$P$2:$P$101)</f>
        <v>4485</v>
      </c>
      <c r="E34" s="9">
        <f t="shared" si="0"/>
        <v>29</v>
      </c>
      <c r="F34" s="9">
        <f>SUM(D$6:D34)</f>
        <v>542036.5</v>
      </c>
      <c r="G34" s="9">
        <f t="shared" si="1"/>
        <v>591208.75</v>
      </c>
      <c r="H34" s="9">
        <f t="shared" si="2"/>
        <v>91.68</v>
      </c>
      <c r="I34" s="9" t="str">
        <f t="shared" si="3"/>
        <v>C - Low Value</v>
      </c>
    </row>
    <row r="35" spans="1:9" x14ac:dyDescent="0.3">
      <c r="A35" s="9" t="s">
        <v>90</v>
      </c>
      <c r="B35" s="9" t="str">
        <f>VLOOKUP(TRIM(A35),raw_data!$A:$Q,2,0)</f>
        <v>Omeprazole 20mg Capsules</v>
      </c>
      <c r="C35" s="9" t="str">
        <f>VLOOKUP(TRIM(A35),raw_data!$A:$Q,4,0)</f>
        <v>Antacid</v>
      </c>
      <c r="D35" s="9">
        <f>SUMIF(raw_data!$A$2:$A$101, A35,raw_data!$P$2:$P$101)</f>
        <v>4140</v>
      </c>
      <c r="E35" s="9">
        <f t="shared" si="0"/>
        <v>30</v>
      </c>
      <c r="F35" s="9">
        <f>SUM(D$6:D35)</f>
        <v>546176.5</v>
      </c>
      <c r="G35" s="9">
        <f t="shared" si="1"/>
        <v>591208.75</v>
      </c>
      <c r="H35" s="9">
        <f t="shared" si="2"/>
        <v>92.38</v>
      </c>
      <c r="I35" s="9" t="str">
        <f t="shared" si="3"/>
        <v>C - Low Value</v>
      </c>
    </row>
    <row r="36" spans="1:9" x14ac:dyDescent="0.3">
      <c r="A36" s="9" t="s">
        <v>309</v>
      </c>
      <c r="B36" s="9" t="str">
        <f>VLOOKUP(TRIM(A36),raw_data!$A:$Q,2,0)</f>
        <v>Vitamin D3 1000IU Tablets</v>
      </c>
      <c r="C36" s="9" t="str">
        <f>VLOOKUP(TRIM(A36),raw_data!$A:$Q,4,0)</f>
        <v>Vitamin</v>
      </c>
      <c r="D36" s="9">
        <f>SUMIF(raw_data!$A$2:$A$101, A36,raw_data!$P$2:$P$101)</f>
        <v>3710</v>
      </c>
      <c r="E36" s="9">
        <f t="shared" si="0"/>
        <v>31</v>
      </c>
      <c r="F36" s="9">
        <f>SUM(D$6:D36)</f>
        <v>549886.5</v>
      </c>
      <c r="G36" s="9">
        <f t="shared" si="1"/>
        <v>591208.75</v>
      </c>
      <c r="H36" s="9">
        <f t="shared" si="2"/>
        <v>93.01</v>
      </c>
      <c r="I36" s="9" t="str">
        <f t="shared" si="3"/>
        <v>C - Low Value</v>
      </c>
    </row>
    <row r="37" spans="1:9" x14ac:dyDescent="0.3">
      <c r="A37" s="9" t="s">
        <v>139</v>
      </c>
      <c r="B37" s="9" t="str">
        <f>VLOOKUP(TRIM(A37),raw_data!$A:$Q,2,0)</f>
        <v>Ranitidine 150mg Tablets</v>
      </c>
      <c r="C37" s="9" t="str">
        <f>VLOOKUP(TRIM(A37),raw_data!$A:$Q,4,0)</f>
        <v>Antacid</v>
      </c>
      <c r="D37" s="9">
        <f>SUMIF(raw_data!$A$2:$A$101, A37,raw_data!$P$2:$P$101)</f>
        <v>3510</v>
      </c>
      <c r="E37" s="9">
        <f t="shared" si="0"/>
        <v>32</v>
      </c>
      <c r="F37" s="9">
        <f>SUM(D$6:D37)</f>
        <v>553396.5</v>
      </c>
      <c r="G37" s="9">
        <f t="shared" si="1"/>
        <v>591208.75</v>
      </c>
      <c r="H37" s="9">
        <f t="shared" si="2"/>
        <v>93.6</v>
      </c>
      <c r="I37" s="9" t="str">
        <f t="shared" si="3"/>
        <v>C - Low Value</v>
      </c>
    </row>
    <row r="38" spans="1:9" x14ac:dyDescent="0.3">
      <c r="A38" s="9" t="s">
        <v>39</v>
      </c>
      <c r="B38" s="9" t="str">
        <f>VLOOKUP(TRIM(A38),raw_data!$A:$Q,2,0)</f>
        <v>Iron Supplement 200mg</v>
      </c>
      <c r="C38" s="9" t="str">
        <f>VLOOKUP(TRIM(A38),raw_data!$A:$Q,4,0)</f>
        <v>Supplement</v>
      </c>
      <c r="D38" s="9">
        <f>SUMIF(raw_data!$A$2:$A$101, A38,raw_data!$P$2:$P$101)</f>
        <v>3469.5</v>
      </c>
      <c r="E38" s="9">
        <f t="shared" ref="E38:E55" si="4">RANK(D38,D$6:D$55,0)</f>
        <v>33</v>
      </c>
      <c r="F38" s="9">
        <f>SUM(D$6:D38)</f>
        <v>556866</v>
      </c>
      <c r="G38" s="9">
        <f t="shared" ref="G38:G55" si="5">SUM(D$6:D$55)</f>
        <v>591208.75</v>
      </c>
      <c r="H38" s="9">
        <f t="shared" ref="H38:H55" si="6">ROUND((F38/G38)*100,2)</f>
        <v>94.19</v>
      </c>
      <c r="I38" s="9" t="str">
        <f t="shared" ref="I38:I55" si="7">IF(H38&lt;=70,"A - High Value",IF(H38&lt;=90,"B - Medium Value","C - Low Value"))</f>
        <v>C - Low Value</v>
      </c>
    </row>
    <row r="39" spans="1:9" x14ac:dyDescent="0.3">
      <c r="A39" s="9" t="s">
        <v>56</v>
      </c>
      <c r="B39" s="9" t="str">
        <f>VLOOKUP(TRIM(A39),raw_data!$A:$Q,2,0)</f>
        <v>Multivitamin Syrup 200ml</v>
      </c>
      <c r="C39" s="9" t="str">
        <f>VLOOKUP(TRIM(A39),raw_data!$A:$Q,4,0)</f>
        <v>Vitamin</v>
      </c>
      <c r="D39" s="9">
        <f>SUMIF(raw_data!$A$2:$A$101, A39,raw_data!$P$2:$P$101)</f>
        <v>3355</v>
      </c>
      <c r="E39" s="9">
        <f t="shared" si="4"/>
        <v>34</v>
      </c>
      <c r="F39" s="9">
        <f>SUM(D$6:D39)</f>
        <v>560221</v>
      </c>
      <c r="G39" s="9">
        <f t="shared" si="5"/>
        <v>591208.75</v>
      </c>
      <c r="H39" s="9">
        <f t="shared" si="6"/>
        <v>94.76</v>
      </c>
      <c r="I39" s="9" t="str">
        <f t="shared" si="7"/>
        <v>C - Low Value</v>
      </c>
    </row>
    <row r="40" spans="1:9" x14ac:dyDescent="0.3">
      <c r="A40" s="9" t="s">
        <v>94</v>
      </c>
      <c r="B40" s="9" t="str">
        <f>VLOOKUP(TRIM(A40),raw_data!$A:$Q,2,0)</f>
        <v>Ibuprofen 400mg Tablets</v>
      </c>
      <c r="C40" s="9" t="str">
        <f>VLOOKUP(TRIM(A40),raw_data!$A:$Q,4,0)</f>
        <v>NSAID</v>
      </c>
      <c r="D40" s="9">
        <f>SUMIF(raw_data!$A$2:$A$101, A40,raw_data!$P$2:$P$101)</f>
        <v>3191.5</v>
      </c>
      <c r="E40" s="9">
        <f t="shared" si="4"/>
        <v>35</v>
      </c>
      <c r="F40" s="9">
        <f>SUM(D$6:D40)</f>
        <v>563412.5</v>
      </c>
      <c r="G40" s="9">
        <f t="shared" si="5"/>
        <v>591208.75</v>
      </c>
      <c r="H40" s="9">
        <f t="shared" si="6"/>
        <v>95.3</v>
      </c>
      <c r="I40" s="9" t="str">
        <f t="shared" si="7"/>
        <v>C - Low Value</v>
      </c>
    </row>
    <row r="41" spans="1:9" x14ac:dyDescent="0.3">
      <c r="A41" s="9" t="s">
        <v>297</v>
      </c>
      <c r="B41" s="9" t="str">
        <f>VLOOKUP(TRIM(A41),raw_data!$A:$Q,2,0)</f>
        <v>Vitamin B12 500mcg Tablets</v>
      </c>
      <c r="C41" s="9" t="str">
        <f>VLOOKUP(TRIM(A41),raw_data!$A:$Q,4,0)</f>
        <v>Vitamin</v>
      </c>
      <c r="D41" s="9">
        <f>SUMIF(raw_data!$A$2:$A$101, A41,raw_data!$P$2:$P$101)</f>
        <v>3152</v>
      </c>
      <c r="E41" s="9">
        <f t="shared" si="4"/>
        <v>36</v>
      </c>
      <c r="F41" s="9">
        <f>SUM(D$6:D41)</f>
        <v>566564.5</v>
      </c>
      <c r="G41" s="9">
        <f t="shared" si="5"/>
        <v>591208.75</v>
      </c>
      <c r="H41" s="9">
        <f t="shared" si="6"/>
        <v>95.83</v>
      </c>
      <c r="I41" s="9" t="str">
        <f t="shared" si="7"/>
        <v>C - Low Value</v>
      </c>
    </row>
    <row r="42" spans="1:9" x14ac:dyDescent="0.3">
      <c r="A42" s="9" t="s">
        <v>199</v>
      </c>
      <c r="B42" s="9" t="str">
        <f>VLOOKUP(TRIM(A42),raw_data!$A:$Q,2,0)</f>
        <v>Oral Rehydration Salts</v>
      </c>
      <c r="C42" s="9" t="str">
        <f>VLOOKUP(TRIM(A42),raw_data!$A:$Q,4,0)</f>
        <v>Electrolyte</v>
      </c>
      <c r="D42" s="9">
        <f>SUMIF(raw_data!$A$2:$A$101, A42,raw_data!$P$2:$P$101)</f>
        <v>3013.5</v>
      </c>
      <c r="E42" s="9">
        <f t="shared" si="4"/>
        <v>37</v>
      </c>
      <c r="F42" s="9">
        <f>SUM(D$6:D42)</f>
        <v>569578</v>
      </c>
      <c r="G42" s="9">
        <f t="shared" si="5"/>
        <v>591208.75</v>
      </c>
      <c r="H42" s="9">
        <f t="shared" si="6"/>
        <v>96.34</v>
      </c>
      <c r="I42" s="9" t="str">
        <f t="shared" si="7"/>
        <v>C - Low Value</v>
      </c>
    </row>
    <row r="43" spans="1:9" x14ac:dyDescent="0.3">
      <c r="A43" s="9" t="s">
        <v>251</v>
      </c>
      <c r="B43" s="9" t="str">
        <f>VLOOKUP(TRIM(A43),raw_data!$A:$Q,2,0)</f>
        <v>Sertraline 50mg Tablets</v>
      </c>
      <c r="C43" s="9" t="str">
        <f>VLOOKUP(TRIM(A43),raw_data!$A:$Q,4,0)</f>
        <v>Antidepressant</v>
      </c>
      <c r="D43" s="9">
        <f>SUMIF(raw_data!$A$2:$A$101, A43,raw_data!$P$2:$P$101)</f>
        <v>2662</v>
      </c>
      <c r="E43" s="9">
        <f t="shared" si="4"/>
        <v>38</v>
      </c>
      <c r="F43" s="9">
        <f>SUM(D$6:D43)</f>
        <v>572240</v>
      </c>
      <c r="G43" s="9">
        <f t="shared" si="5"/>
        <v>591208.75</v>
      </c>
      <c r="H43" s="9">
        <f t="shared" si="6"/>
        <v>96.79</v>
      </c>
      <c r="I43" s="9" t="str">
        <f t="shared" si="7"/>
        <v>C - Low Value</v>
      </c>
    </row>
    <row r="44" spans="1:9" x14ac:dyDescent="0.3">
      <c r="A44" s="9" t="s">
        <v>33</v>
      </c>
      <c r="B44" s="9" t="str">
        <f>VLOOKUP(TRIM(A44),raw_data!$A:$Q,2,0)</f>
        <v>Furosemide 40mg Tablets</v>
      </c>
      <c r="C44" s="9" t="str">
        <f>VLOOKUP(TRIM(A44),raw_data!$A:$Q,4,0)</f>
        <v>Diuretic</v>
      </c>
      <c r="D44" s="9">
        <f>SUMIF(raw_data!$A$2:$A$101, A44,raw_data!$P$2:$P$101)</f>
        <v>2425.5</v>
      </c>
      <c r="E44" s="9">
        <f t="shared" si="4"/>
        <v>39</v>
      </c>
      <c r="F44" s="9">
        <f>SUM(D$6:D44)</f>
        <v>574665.5</v>
      </c>
      <c r="G44" s="9">
        <f t="shared" si="5"/>
        <v>591208.75</v>
      </c>
      <c r="H44" s="9">
        <f t="shared" si="6"/>
        <v>97.2</v>
      </c>
      <c r="I44" s="9" t="str">
        <f t="shared" si="7"/>
        <v>C - Low Value</v>
      </c>
    </row>
    <row r="45" spans="1:9" x14ac:dyDescent="0.3">
      <c r="A45" s="9" t="s">
        <v>195</v>
      </c>
      <c r="B45" s="9" t="str">
        <f>VLOOKUP(TRIM(A45),raw_data!$A:$Q,2,0)</f>
        <v>Folic Acid 5mg Tablets</v>
      </c>
      <c r="C45" s="9" t="str">
        <f>VLOOKUP(TRIM(A45),raw_data!$A:$Q,4,0)</f>
        <v>Vitamin</v>
      </c>
      <c r="D45" s="9">
        <f>SUMIF(raw_data!$A$2:$A$101, A45,raw_data!$P$2:$P$101)</f>
        <v>2383.5</v>
      </c>
      <c r="E45" s="9">
        <f t="shared" si="4"/>
        <v>40</v>
      </c>
      <c r="F45" s="9">
        <f>SUM(D$6:D45)</f>
        <v>577049</v>
      </c>
      <c r="G45" s="9">
        <f t="shared" si="5"/>
        <v>591208.75</v>
      </c>
      <c r="H45" s="9">
        <f t="shared" si="6"/>
        <v>97.6</v>
      </c>
      <c r="I45" s="9" t="str">
        <f t="shared" si="7"/>
        <v>C - Low Value</v>
      </c>
    </row>
    <row r="46" spans="1:9" x14ac:dyDescent="0.3">
      <c r="A46" s="9" t="s">
        <v>105</v>
      </c>
      <c r="B46" s="9" t="str">
        <f>VLOOKUP(TRIM(A46),raw_data!$A:$Q,2,0)</f>
        <v>Metronidazole 400mg Tablets</v>
      </c>
      <c r="C46" s="9" t="str">
        <f>VLOOKUP(TRIM(A46),raw_data!$A:$Q,4,0)</f>
        <v>Antibiotic</v>
      </c>
      <c r="D46" s="9">
        <f>SUMIF(raw_data!$A$2:$A$101, A46,raw_data!$P$2:$P$101)</f>
        <v>2310</v>
      </c>
      <c r="E46" s="9">
        <f t="shared" si="4"/>
        <v>41</v>
      </c>
      <c r="F46" s="9">
        <f>SUM(D$6:D46)</f>
        <v>579359</v>
      </c>
      <c r="G46" s="9">
        <f t="shared" si="5"/>
        <v>591208.75</v>
      </c>
      <c r="H46" s="9">
        <f t="shared" si="6"/>
        <v>98</v>
      </c>
      <c r="I46" s="9" t="str">
        <f t="shared" si="7"/>
        <v>C - Low Value</v>
      </c>
    </row>
    <row r="47" spans="1:9" x14ac:dyDescent="0.3">
      <c r="A47" s="9" t="s">
        <v>180</v>
      </c>
      <c r="B47" s="9" t="str">
        <f>VLOOKUP(TRIM(A47),raw_data!$A:$Q,2,0)</f>
        <v>Diazepam 5mg Tablets</v>
      </c>
      <c r="C47" s="9" t="str">
        <f>VLOOKUP(TRIM(A47),raw_data!$A:$Q,4,0)</f>
        <v>Anxiolytic</v>
      </c>
      <c r="D47" s="9">
        <f>SUMIF(raw_data!$A$2:$A$101, A47,raw_data!$P$2:$P$101)</f>
        <v>2112</v>
      </c>
      <c r="E47" s="9">
        <f t="shared" si="4"/>
        <v>42</v>
      </c>
      <c r="F47" s="9">
        <f>SUM(D$6:D47)</f>
        <v>581471</v>
      </c>
      <c r="G47" s="9">
        <f t="shared" si="5"/>
        <v>591208.75</v>
      </c>
      <c r="H47" s="9">
        <f t="shared" si="6"/>
        <v>98.35</v>
      </c>
      <c r="I47" s="9" t="str">
        <f t="shared" si="7"/>
        <v>C - Low Value</v>
      </c>
    </row>
    <row r="48" spans="1:9" x14ac:dyDescent="0.3">
      <c r="A48" s="9" t="s">
        <v>114</v>
      </c>
      <c r="B48" s="9" t="str">
        <f>VLOOKUP(TRIM(A48),raw_data!$A:$Q,2,0)</f>
        <v>Glibenclamide 5mg Tablets</v>
      </c>
      <c r="C48" s="9" t="str">
        <f>VLOOKUP(TRIM(A48),raw_data!$A:$Q,4,0)</f>
        <v>Antidiabetic</v>
      </c>
      <c r="D48" s="9">
        <f>SUMIF(raw_data!$A$2:$A$101, A48,raw_data!$P$2:$P$101)</f>
        <v>1778</v>
      </c>
      <c r="E48" s="9">
        <f t="shared" si="4"/>
        <v>43</v>
      </c>
      <c r="F48" s="9">
        <f>SUM(D$6:D48)</f>
        <v>583249</v>
      </c>
      <c r="G48" s="9">
        <f t="shared" si="5"/>
        <v>591208.75</v>
      </c>
      <c r="H48" s="9">
        <f t="shared" si="6"/>
        <v>98.65</v>
      </c>
      <c r="I48" s="9" t="str">
        <f t="shared" si="7"/>
        <v>C - Low Value</v>
      </c>
    </row>
    <row r="49" spans="1:9" x14ac:dyDescent="0.3">
      <c r="A49" s="9" t="s">
        <v>62</v>
      </c>
      <c r="B49" s="9" t="str">
        <f>VLOOKUP(TRIM(A49),raw_data!$A:$Q,2,0)</f>
        <v>Paracetamol 500mg Tablets</v>
      </c>
      <c r="C49" s="9" t="str">
        <f>VLOOKUP(TRIM(A49),raw_data!$A:$Q,4,0)</f>
        <v>Painkiller</v>
      </c>
      <c r="D49" s="9">
        <f>SUMIF(raw_data!$A$2:$A$101, A49,raw_data!$P$2:$P$101)</f>
        <v>1630</v>
      </c>
      <c r="E49" s="9">
        <f t="shared" si="4"/>
        <v>44</v>
      </c>
      <c r="F49" s="9">
        <f>SUM(D$6:D49)</f>
        <v>584879</v>
      </c>
      <c r="G49" s="9">
        <f t="shared" si="5"/>
        <v>591208.75</v>
      </c>
      <c r="H49" s="9">
        <f t="shared" si="6"/>
        <v>98.93</v>
      </c>
      <c r="I49" s="9" t="str">
        <f t="shared" si="7"/>
        <v>C - Low Value</v>
      </c>
    </row>
    <row r="50" spans="1:9" x14ac:dyDescent="0.3">
      <c r="A50" s="9" t="s">
        <v>230</v>
      </c>
      <c r="B50" s="9" t="str">
        <f>VLOOKUP(TRIM(A50),raw_data!$A:$Q,2,0)</f>
        <v>Cetirizine 10mg Tablets</v>
      </c>
      <c r="C50" s="9" t="str">
        <f>VLOOKUP(TRIM(A50),raw_data!$A:$Q,4,0)</f>
        <v>Antihistamine</v>
      </c>
      <c r="D50" s="9">
        <f>SUMIF(raw_data!$A$2:$A$101, A50,raw_data!$P$2:$P$101)</f>
        <v>1462.5</v>
      </c>
      <c r="E50" s="9">
        <f t="shared" si="4"/>
        <v>45</v>
      </c>
      <c r="F50" s="9">
        <f>SUM(D$6:D50)</f>
        <v>586341.5</v>
      </c>
      <c r="G50" s="9">
        <f t="shared" si="5"/>
        <v>591208.75</v>
      </c>
      <c r="H50" s="9">
        <f t="shared" si="6"/>
        <v>99.18</v>
      </c>
      <c r="I50" s="9" t="str">
        <f t="shared" si="7"/>
        <v>C - Low Value</v>
      </c>
    </row>
    <row r="51" spans="1:9" x14ac:dyDescent="0.3">
      <c r="A51" s="9" t="s">
        <v>224</v>
      </c>
      <c r="B51" s="9" t="str">
        <f>VLOOKUP(TRIM(A51),raw_data!$A:$Q,2,0)</f>
        <v>Digoxin 0.25mg Tablets</v>
      </c>
      <c r="C51" s="9" t="str">
        <f>VLOOKUP(TRIM(A51),raw_data!$A:$Q,4,0)</f>
        <v>Cardiac Glycoside</v>
      </c>
      <c r="D51" s="9">
        <f>SUMIF(raw_data!$A$2:$A$101, A51,raw_data!$P$2:$P$101)</f>
        <v>1368</v>
      </c>
      <c r="E51" s="9">
        <f t="shared" si="4"/>
        <v>46</v>
      </c>
      <c r="F51" s="9">
        <f>SUM(D$6:D51)</f>
        <v>587709.5</v>
      </c>
      <c r="G51" s="9">
        <f t="shared" si="5"/>
        <v>591208.75</v>
      </c>
      <c r="H51" s="9">
        <f t="shared" si="6"/>
        <v>99.41</v>
      </c>
      <c r="I51" s="9" t="str">
        <f t="shared" si="7"/>
        <v>C - Low Value</v>
      </c>
    </row>
    <row r="52" spans="1:9" x14ac:dyDescent="0.3">
      <c r="A52" s="9" t="s">
        <v>176</v>
      </c>
      <c r="B52" s="9" t="str">
        <f>VLOOKUP(TRIM(A52),raw_data!$A:$Q,2,0)</f>
        <v>Aspirin 75mg Tablets</v>
      </c>
      <c r="C52" s="9" t="str">
        <f>VLOOKUP(TRIM(A52),raw_data!$A:$Q,4,0)</f>
        <v>Antiplatelet</v>
      </c>
      <c r="D52" s="9">
        <f>SUMIF(raw_data!$A$2:$A$101, A52,raw_data!$P$2:$P$101)</f>
        <v>1288</v>
      </c>
      <c r="E52" s="9">
        <f t="shared" si="4"/>
        <v>47</v>
      </c>
      <c r="F52" s="9">
        <f>SUM(D$6:D52)</f>
        <v>588997.5</v>
      </c>
      <c r="G52" s="9">
        <f t="shared" si="5"/>
        <v>591208.75</v>
      </c>
      <c r="H52" s="9">
        <f t="shared" si="6"/>
        <v>99.63</v>
      </c>
      <c r="I52" s="9" t="str">
        <f t="shared" si="7"/>
        <v>C - Low Value</v>
      </c>
    </row>
    <row r="53" spans="1:9" x14ac:dyDescent="0.3">
      <c r="A53" s="9" t="s">
        <v>17</v>
      </c>
      <c r="B53" s="9" t="str">
        <f>VLOOKUP(TRIM(A53),raw_data!$A:$Q,2,0)</f>
        <v>Atorvastatin 10mg Tablets</v>
      </c>
      <c r="C53" s="9" t="str">
        <f>VLOOKUP(TRIM(A53),raw_data!$A:$Q,4,0)</f>
        <v>Cholesterol</v>
      </c>
      <c r="D53" s="9">
        <f>SUMIF(raw_data!$A$2:$A$101, A53,raw_data!$P$2:$P$101)</f>
        <v>1125</v>
      </c>
      <c r="E53" s="9">
        <f t="shared" si="4"/>
        <v>48</v>
      </c>
      <c r="F53" s="9">
        <f>SUM(D$6:D53)</f>
        <v>590122.5</v>
      </c>
      <c r="G53" s="9">
        <f t="shared" si="5"/>
        <v>591208.75</v>
      </c>
      <c r="H53" s="9">
        <f t="shared" si="6"/>
        <v>99.82</v>
      </c>
      <c r="I53" s="9" t="str">
        <f t="shared" si="7"/>
        <v>C - Low Value</v>
      </c>
    </row>
    <row r="54" spans="1:9" x14ac:dyDescent="0.3">
      <c r="A54" s="9" t="s">
        <v>82</v>
      </c>
      <c r="B54" s="9" t="str">
        <f>VLOOKUP(TRIM(A54),raw_data!$A:$Q,2,0)</f>
        <v>Amoxicillin 500mg Capsules</v>
      </c>
      <c r="C54" s="9" t="str">
        <f>VLOOKUP(TRIM(A54),raw_data!$A:$Q,4,0)</f>
        <v>Antibiotic</v>
      </c>
      <c r="D54" s="9">
        <f>SUMIF(raw_data!$A$2:$A$101, A54,raw_data!$P$2:$P$101)</f>
        <v>587.5</v>
      </c>
      <c r="E54" s="9">
        <f t="shared" si="4"/>
        <v>49</v>
      </c>
      <c r="F54" s="9">
        <f>SUM(D$6:D54)</f>
        <v>590710</v>
      </c>
      <c r="G54" s="9">
        <f t="shared" si="5"/>
        <v>591208.75</v>
      </c>
      <c r="H54" s="9">
        <f t="shared" si="6"/>
        <v>99.92</v>
      </c>
      <c r="I54" s="9" t="str">
        <f t="shared" si="7"/>
        <v>C - Low Value</v>
      </c>
    </row>
    <row r="55" spans="1:9" x14ac:dyDescent="0.3">
      <c r="A55" s="9" t="s">
        <v>288</v>
      </c>
      <c r="B55" s="9" t="str">
        <f>VLOOKUP(TRIM(A55),raw_data!$A:$Q,2,0)</f>
        <v>Metformin 500mg Tablets</v>
      </c>
      <c r="C55" s="9" t="str">
        <f>VLOOKUP(TRIM(A55),raw_data!$A:$Q,4,0)</f>
        <v>Antidiabetic</v>
      </c>
      <c r="D55" s="9">
        <f>SUMIF(raw_data!$A$2:$A$101, A55,raw_data!$P$2:$P$101)</f>
        <v>498.75</v>
      </c>
      <c r="E55" s="9">
        <f t="shared" si="4"/>
        <v>50</v>
      </c>
      <c r="F55" s="9">
        <f>SUM(D$6:D55)</f>
        <v>591208.75</v>
      </c>
      <c r="G55" s="9">
        <f t="shared" si="5"/>
        <v>591208.75</v>
      </c>
      <c r="H55" s="9">
        <f t="shared" si="6"/>
        <v>100</v>
      </c>
      <c r="I55" s="9" t="str">
        <f t="shared" si="7"/>
        <v>C - Low Value</v>
      </c>
    </row>
  </sheetData>
  <mergeCells count="2">
    <mergeCell ref="A1:C1"/>
    <mergeCell ref="A2:H2"/>
  </mergeCells>
  <conditionalFormatting sqref="I1:I1048576">
    <cfRule type="containsText" dxfId="3" priority="1" operator="containsText" text="C - Low Value">
      <formula>NOT(ISERROR(SEARCH("C - Low Value",I1)))</formula>
    </cfRule>
    <cfRule type="containsText" dxfId="2" priority="2" operator="containsText" text="B ">
      <formula>NOT(ISERROR(SEARCH("B ",I1)))</formula>
    </cfRule>
    <cfRule type="containsText" dxfId="1" priority="3" operator="containsText" text="A - High Value">
      <formula>NOT(ISERROR(SEARCH("A - High Value",I1)))</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CD18-9F48-4A48-83F4-C8369F1F6070}">
  <dimension ref="A1:K58"/>
  <sheetViews>
    <sheetView showGridLines="0" workbookViewId="0">
      <selection activeCell="E62" sqref="E62"/>
    </sheetView>
  </sheetViews>
  <sheetFormatPr defaultRowHeight="14.4" x14ac:dyDescent="0.3"/>
  <cols>
    <col min="1" max="1" width="12.88671875" customWidth="1"/>
    <col min="2" max="2" width="24" bestFit="1" customWidth="1"/>
    <col min="3" max="3" width="16.44140625" bestFit="1" customWidth="1"/>
    <col min="4" max="4" width="11" customWidth="1"/>
    <col min="5" max="5" width="22.77734375" customWidth="1"/>
    <col min="6" max="6" width="18" customWidth="1"/>
    <col min="7" max="7" width="24.33203125" customWidth="1"/>
    <col min="8" max="8" width="12.6640625" customWidth="1"/>
    <col min="9" max="9" width="23.6640625" customWidth="1"/>
    <col min="10" max="10" width="14.33203125" customWidth="1"/>
    <col min="11" max="11" width="26.44140625" customWidth="1"/>
    <col min="12" max="12" width="15.5546875" bestFit="1" customWidth="1"/>
  </cols>
  <sheetData>
    <row r="1" spans="1:11" ht="33.6" x14ac:dyDescent="0.65">
      <c r="A1" s="27" t="s">
        <v>730</v>
      </c>
      <c r="B1" s="27"/>
      <c r="C1" s="27"/>
      <c r="D1" s="27"/>
      <c r="E1" s="27"/>
      <c r="F1" s="27"/>
    </row>
    <row r="2" spans="1:11" ht="15.6" x14ac:dyDescent="0.3">
      <c r="A2" s="26" t="s">
        <v>732</v>
      </c>
      <c r="B2" s="26"/>
      <c r="C2" s="26"/>
      <c r="D2" s="26"/>
      <c r="E2" s="26"/>
      <c r="F2" s="26"/>
      <c r="G2" s="26"/>
      <c r="H2" s="26"/>
      <c r="I2" s="26"/>
    </row>
    <row r="3" spans="1:11" x14ac:dyDescent="0.3">
      <c r="A3" s="15"/>
      <c r="B3" s="15"/>
      <c r="C3" s="15"/>
      <c r="D3" s="15"/>
      <c r="E3" s="15"/>
      <c r="F3" s="15"/>
      <c r="G3" s="15"/>
      <c r="H3" s="15"/>
      <c r="I3" s="15"/>
    </row>
    <row r="4" spans="1:11" x14ac:dyDescent="0.3">
      <c r="A4" s="16" t="s">
        <v>731</v>
      </c>
      <c r="B4" s="14" t="s">
        <v>717</v>
      </c>
      <c r="C4" s="17">
        <v>500</v>
      </c>
    </row>
    <row r="5" spans="1:11" x14ac:dyDescent="0.3">
      <c r="B5" s="14" t="s">
        <v>718</v>
      </c>
      <c r="C5" s="17">
        <v>0.25</v>
      </c>
    </row>
    <row r="6" spans="1:11" x14ac:dyDescent="0.3">
      <c r="B6" s="14" t="s">
        <v>729</v>
      </c>
      <c r="C6" s="18">
        <f ca="1">TODAY()</f>
        <v>46080</v>
      </c>
    </row>
    <row r="8" spans="1:11" s="4" customFormat="1" x14ac:dyDescent="0.3">
      <c r="A8" s="4" t="s">
        <v>719</v>
      </c>
      <c r="B8" s="4" t="s">
        <v>720</v>
      </c>
      <c r="C8" s="4" t="s">
        <v>711</v>
      </c>
      <c r="D8" s="4" t="s">
        <v>721</v>
      </c>
      <c r="E8" s="4" t="s">
        <v>722</v>
      </c>
      <c r="F8" s="4" t="s">
        <v>723</v>
      </c>
      <c r="G8" s="4" t="s">
        <v>724</v>
      </c>
      <c r="H8" s="4" t="s">
        <v>725</v>
      </c>
      <c r="I8" s="4" t="s">
        <v>726</v>
      </c>
      <c r="J8" s="4" t="s">
        <v>727</v>
      </c>
      <c r="K8" s="4" t="s">
        <v>728</v>
      </c>
    </row>
    <row r="9" spans="1:11" x14ac:dyDescent="0.3">
      <c r="A9" s="6" t="s">
        <v>17</v>
      </c>
      <c r="B9" t="str">
        <f>VLOOKUP(TRIM(A9),raw_data!$A:$Q,2,0)</f>
        <v>Atorvastatin 10mg Tablets</v>
      </c>
      <c r="C9" t="str">
        <f>VLOOKUP(TRIM(A9),raw_data!$A:$Q,4,0)</f>
        <v>Cholesterol</v>
      </c>
      <c r="D9">
        <f>VLOOKUP(TRIM(A9),raw_data!$A:$Q,6,0)</f>
        <v>15</v>
      </c>
      <c r="E9">
        <f>SUMIF(sales_data!B:B,A9,sales_data!D:D)</f>
        <v>44</v>
      </c>
      <c r="F9">
        <f>$C$4</f>
        <v>500</v>
      </c>
      <c r="G9">
        <f>ROUND(D9*$C$5,2)</f>
        <v>3.75</v>
      </c>
      <c r="H9">
        <f>IFERROR(ROUND(SQRT((E9*F9)/G9),0),0)</f>
        <v>77</v>
      </c>
      <c r="I9">
        <f>IFERROR(SUMIF(raw_data!A:A,A9,raw_data!J:J)/ COUNTIF(raw_data!A:A,A9),0)</f>
        <v>187.5</v>
      </c>
      <c r="J9">
        <f>IFERROR(SUMIF(raw_data!$A:$A,A9,raw_data!$I:$I)/ COUNTIF(raw_data!$A:$A,A9),0)</f>
        <v>38</v>
      </c>
      <c r="K9">
        <f>H9-I9</f>
        <v>-110.5</v>
      </c>
    </row>
    <row r="10" spans="1:11" x14ac:dyDescent="0.3">
      <c r="A10" s="6" t="s">
        <v>26</v>
      </c>
      <c r="B10" t="str">
        <f>VLOOKUP(TRIM(A10),raw_data!$A:$Q,2,0)</f>
        <v>Ciprofloxacin 500mg Tablets</v>
      </c>
      <c r="C10" t="str">
        <f>VLOOKUP(TRIM(A10),raw_data!$A:$Q,4,0)</f>
        <v>Antibiotic</v>
      </c>
      <c r="D10">
        <f>VLOOKUP(TRIM(A10),raw_data!$A:$Q,6,0)</f>
        <v>18</v>
      </c>
      <c r="E10">
        <f>SUMIF(sales_data!B:B,A10,sales_data!D:D)</f>
        <v>50</v>
      </c>
      <c r="F10">
        <f t="shared" ref="F10:F58" si="0">$C$4</f>
        <v>500</v>
      </c>
      <c r="G10">
        <f t="shared" ref="G10:G58" si="1">ROUND(D10*$C$5,2)</f>
        <v>4.5</v>
      </c>
      <c r="H10">
        <f t="shared" ref="H10:H58" si="2">IFERROR(ROUND(SQRT((E10*F10)/G10),0),0)</f>
        <v>75</v>
      </c>
      <c r="I10">
        <f>IFERROR(SUMIF(raw_data!A:A,A10,raw_data!J:J)/ COUNTIF(raw_data!A:A,A10),0)</f>
        <v>345.5</v>
      </c>
      <c r="J10">
        <f>IFERROR(SUMIF(raw_data!$A:$A,A10,raw_data!$I:$I)/ COUNTIF(raw_data!$A:$A,A10),0)</f>
        <v>67</v>
      </c>
      <c r="K10">
        <f t="shared" ref="K10:K58" si="3">H10-I10</f>
        <v>-270.5</v>
      </c>
    </row>
    <row r="11" spans="1:11" x14ac:dyDescent="0.3">
      <c r="A11" s="6" t="s">
        <v>33</v>
      </c>
      <c r="B11" t="str">
        <f>VLOOKUP(TRIM(A11),raw_data!$A:$Q,2,0)</f>
        <v>Furosemide 40mg Tablets</v>
      </c>
      <c r="C11" t="str">
        <f>VLOOKUP(TRIM(A11),raw_data!$A:$Q,4,0)</f>
        <v>Diuretic</v>
      </c>
      <c r="D11">
        <f>VLOOKUP(TRIM(A11),raw_data!$A:$Q,6,0)</f>
        <v>5.5</v>
      </c>
      <c r="E11">
        <f>SUMIF(sales_data!B:B,A11,sales_data!D:D)</f>
        <v>72</v>
      </c>
      <c r="F11">
        <f t="shared" si="0"/>
        <v>500</v>
      </c>
      <c r="G11">
        <f t="shared" si="1"/>
        <v>1.38</v>
      </c>
      <c r="H11">
        <f t="shared" si="2"/>
        <v>162</v>
      </c>
      <c r="I11">
        <f>IFERROR(SUMIF(raw_data!A:A,A11,raw_data!J:J)/ COUNTIF(raw_data!A:A,A11),0)</f>
        <v>231.5</v>
      </c>
      <c r="J11">
        <f>IFERROR(SUMIF(raw_data!$A:$A,A11,raw_data!$I:$I)/ COUNTIF(raw_data!$A:$A,A11),0)</f>
        <v>60.5</v>
      </c>
      <c r="K11">
        <f t="shared" si="3"/>
        <v>-69.5</v>
      </c>
    </row>
    <row r="12" spans="1:11" x14ac:dyDescent="0.3">
      <c r="A12" s="6" t="s">
        <v>39</v>
      </c>
      <c r="B12" t="str">
        <f>VLOOKUP(TRIM(A12),raw_data!$A:$Q,2,0)</f>
        <v>Iron Supplement 200mg</v>
      </c>
      <c r="C12" t="str">
        <f>VLOOKUP(TRIM(A12),raw_data!$A:$Q,4,0)</f>
        <v>Supplement</v>
      </c>
      <c r="D12">
        <f>VLOOKUP(TRIM(A12),raw_data!$A:$Q,6,0)</f>
        <v>4.5</v>
      </c>
      <c r="E12">
        <f>SUMIF(sales_data!B:B,A12,sales_data!D:D)</f>
        <v>49</v>
      </c>
      <c r="F12">
        <f t="shared" si="0"/>
        <v>500</v>
      </c>
      <c r="G12">
        <f t="shared" si="1"/>
        <v>1.1299999999999999</v>
      </c>
      <c r="H12">
        <f t="shared" si="2"/>
        <v>147</v>
      </c>
      <c r="I12">
        <f>IFERROR(SUMIF(raw_data!A:A,A12,raw_data!J:J)/ COUNTIF(raw_data!A:A,A12),0)</f>
        <v>300</v>
      </c>
      <c r="J12">
        <f>IFERROR(SUMIF(raw_data!$A:$A,A12,raw_data!$I:$I)/ COUNTIF(raw_data!$A:$A,A12),0)</f>
        <v>46</v>
      </c>
      <c r="K12">
        <f t="shared" si="3"/>
        <v>-153</v>
      </c>
    </row>
    <row r="13" spans="1:11" x14ac:dyDescent="0.3">
      <c r="A13" s="6" t="s">
        <v>45</v>
      </c>
      <c r="B13" t="str">
        <f>VLOOKUP(TRIM(A13),raw_data!$A:$Q,2,0)</f>
        <v>Levofloxacin 500mg Tablets</v>
      </c>
      <c r="C13" t="str">
        <f>VLOOKUP(TRIM(A13),raw_data!$A:$Q,4,0)</f>
        <v>Antibiotic</v>
      </c>
      <c r="D13">
        <f>VLOOKUP(TRIM(A13),raw_data!$A:$Q,6,0)</f>
        <v>28</v>
      </c>
      <c r="E13">
        <f>SUMIF(sales_data!B:B,A13,sales_data!D:D)</f>
        <v>70</v>
      </c>
      <c r="F13">
        <f t="shared" si="0"/>
        <v>500</v>
      </c>
      <c r="G13">
        <f t="shared" si="1"/>
        <v>7</v>
      </c>
      <c r="H13">
        <f t="shared" si="2"/>
        <v>71</v>
      </c>
      <c r="I13">
        <f>IFERROR(SUMIF(raw_data!A:A,A13,raw_data!J:J)/ COUNTIF(raw_data!A:A,A13),0)</f>
        <v>234</v>
      </c>
      <c r="J13">
        <f>IFERROR(SUMIF(raw_data!$A:$A,A13,raw_data!$I:$I)/ COUNTIF(raw_data!$A:$A,A13),0)</f>
        <v>53.5</v>
      </c>
      <c r="K13">
        <f t="shared" si="3"/>
        <v>-163</v>
      </c>
    </row>
    <row r="14" spans="1:11" x14ac:dyDescent="0.3">
      <c r="A14" s="6" t="s">
        <v>51</v>
      </c>
      <c r="B14" t="str">
        <f>VLOOKUP(TRIM(A14),raw_data!$A:$Q,2,0)</f>
        <v>Warfarin 5mg Tablets</v>
      </c>
      <c r="C14" t="str">
        <f>VLOOKUP(TRIM(A14),raw_data!$A:$Q,4,0)</f>
        <v>Anticoagulant</v>
      </c>
      <c r="D14">
        <f>VLOOKUP(TRIM(A14),raw_data!$A:$Q,6,0)</f>
        <v>18</v>
      </c>
      <c r="E14">
        <f>SUMIF(sales_data!B:B,A14,sales_data!D:D)</f>
        <v>24</v>
      </c>
      <c r="F14">
        <f t="shared" si="0"/>
        <v>500</v>
      </c>
      <c r="G14">
        <f t="shared" si="1"/>
        <v>4.5</v>
      </c>
      <c r="H14">
        <f t="shared" si="2"/>
        <v>52</v>
      </c>
      <c r="I14">
        <f>IFERROR(SUMIF(raw_data!A:A,A14,raw_data!J:J)/ COUNTIF(raw_data!A:A,A14),0)</f>
        <v>343</v>
      </c>
      <c r="J14">
        <f>IFERROR(SUMIF(raw_data!$A:$A,A14,raw_data!$I:$I)/ COUNTIF(raw_data!$A:$A,A14),0)</f>
        <v>71</v>
      </c>
      <c r="K14">
        <f t="shared" si="3"/>
        <v>-291</v>
      </c>
    </row>
    <row r="15" spans="1:11" x14ac:dyDescent="0.3">
      <c r="A15" s="6" t="s">
        <v>56</v>
      </c>
      <c r="B15" t="str">
        <f>VLOOKUP(TRIM(A15),raw_data!$A:$Q,2,0)</f>
        <v>Multivitamin Syrup 200ml</v>
      </c>
      <c r="C15" t="str">
        <f>VLOOKUP(TRIM(A15),raw_data!$A:$Q,4,0)</f>
        <v>Vitamin</v>
      </c>
      <c r="D15">
        <f>VLOOKUP(TRIM(A15),raw_data!$A:$Q,6,0)</f>
        <v>55</v>
      </c>
      <c r="E15">
        <f>SUMIF(sales_data!B:B,A15,sales_data!D:D)</f>
        <v>81</v>
      </c>
      <c r="F15">
        <f t="shared" si="0"/>
        <v>500</v>
      </c>
      <c r="G15">
        <f t="shared" si="1"/>
        <v>13.75</v>
      </c>
      <c r="H15">
        <f t="shared" si="2"/>
        <v>54</v>
      </c>
      <c r="I15">
        <f>IFERROR(SUMIF(raw_data!A:A,A15,raw_data!J:J)/ COUNTIF(raw_data!A:A,A15),0)</f>
        <v>206.5</v>
      </c>
      <c r="J15">
        <f>IFERROR(SUMIF(raw_data!$A:$A,A15,raw_data!$I:$I)/ COUNTIF(raw_data!$A:$A,A15),0)</f>
        <v>69</v>
      </c>
      <c r="K15">
        <f t="shared" si="3"/>
        <v>-152.5</v>
      </c>
    </row>
    <row r="16" spans="1:11" x14ac:dyDescent="0.3">
      <c r="A16" s="6" t="s">
        <v>62</v>
      </c>
      <c r="B16" t="str">
        <f>VLOOKUP(TRIM(A16),raw_data!$A:$Q,2,0)</f>
        <v>Paracetamol 500mg Tablets</v>
      </c>
      <c r="C16" t="str">
        <f>VLOOKUP(TRIM(A16),raw_data!$A:$Q,4,0)</f>
        <v>Painkiller</v>
      </c>
      <c r="D16">
        <f>VLOOKUP(TRIM(A16),raw_data!$A:$Q,6,0)</f>
        <v>5</v>
      </c>
      <c r="E16">
        <f>SUMIF(sales_data!B:B,A16,sales_data!D:D)</f>
        <v>42</v>
      </c>
      <c r="F16">
        <f t="shared" si="0"/>
        <v>500</v>
      </c>
      <c r="G16">
        <f t="shared" si="1"/>
        <v>1.25</v>
      </c>
      <c r="H16">
        <f t="shared" si="2"/>
        <v>130</v>
      </c>
      <c r="I16">
        <f>IFERROR(SUMIF(raw_data!A:A,A16,raw_data!J:J)/ COUNTIF(raw_data!A:A,A16),0)</f>
        <v>200.5</v>
      </c>
      <c r="J16">
        <f>IFERROR(SUMIF(raw_data!$A:$A,A16,raw_data!$I:$I)/ COUNTIF(raw_data!$A:$A,A16),0)</f>
        <v>34.5</v>
      </c>
      <c r="K16">
        <f t="shared" si="3"/>
        <v>-70.5</v>
      </c>
    </row>
    <row r="17" spans="1:11" x14ac:dyDescent="0.3">
      <c r="A17" s="6" t="s">
        <v>70</v>
      </c>
      <c r="B17" t="str">
        <f>VLOOKUP(TRIM(A17),raw_data!$A:$Q,2,0)</f>
        <v>Amlodipine 5mg Tablets</v>
      </c>
      <c r="C17" t="str">
        <f>VLOOKUP(TRIM(A17),raw_data!$A:$Q,4,0)</f>
        <v>Antihypertensive</v>
      </c>
      <c r="D17">
        <f>VLOOKUP(TRIM(A17),raw_data!$A:$Q,6,0)</f>
        <v>11</v>
      </c>
      <c r="E17">
        <f>SUMIF(sales_data!B:B,A17,sales_data!D:D)</f>
        <v>59</v>
      </c>
      <c r="F17">
        <f t="shared" si="0"/>
        <v>500</v>
      </c>
      <c r="G17">
        <f t="shared" si="1"/>
        <v>2.75</v>
      </c>
      <c r="H17">
        <f t="shared" si="2"/>
        <v>104</v>
      </c>
      <c r="I17">
        <f>IFERROR(SUMIF(raw_data!A:A,A17,raw_data!J:J)/ COUNTIF(raw_data!A:A,A17),0)</f>
        <v>280</v>
      </c>
      <c r="J17">
        <f>IFERROR(SUMIF(raw_data!$A:$A,A17,raw_data!$I:$I)/ COUNTIF(raw_data!$A:$A,A17),0)</f>
        <v>72</v>
      </c>
      <c r="K17">
        <f t="shared" si="3"/>
        <v>-176</v>
      </c>
    </row>
    <row r="18" spans="1:11" x14ac:dyDescent="0.3">
      <c r="A18" s="6" t="s">
        <v>75</v>
      </c>
      <c r="B18" t="str">
        <f>VLOOKUP(TRIM(A18),raw_data!$A:$Q,2,0)</f>
        <v>Pantoprazole 40mg Tablets</v>
      </c>
      <c r="C18" t="str">
        <f>VLOOKUP(TRIM(A18),raw_data!$A:$Q,4,0)</f>
        <v>Antacid</v>
      </c>
      <c r="D18">
        <f>VLOOKUP(TRIM(A18),raw_data!$A:$Q,6,0)</f>
        <v>10.5</v>
      </c>
      <c r="E18">
        <f>SUMIF(sales_data!B:B,A18,sales_data!D:D)</f>
        <v>46</v>
      </c>
      <c r="F18">
        <f t="shared" si="0"/>
        <v>500</v>
      </c>
      <c r="G18">
        <f t="shared" si="1"/>
        <v>2.63</v>
      </c>
      <c r="H18">
        <f t="shared" si="2"/>
        <v>94</v>
      </c>
      <c r="I18">
        <f>IFERROR(SUMIF(raw_data!A:A,A18,raw_data!J:J)/ COUNTIF(raw_data!A:A,A18),0)</f>
        <v>329.5</v>
      </c>
      <c r="J18">
        <f>IFERROR(SUMIF(raw_data!$A:$A,A18,raw_data!$I:$I)/ COUNTIF(raw_data!$A:$A,A18),0)</f>
        <v>51</v>
      </c>
      <c r="K18">
        <f t="shared" si="3"/>
        <v>-235.5</v>
      </c>
    </row>
    <row r="19" spans="1:11" x14ac:dyDescent="0.3">
      <c r="A19" s="6" t="s">
        <v>82</v>
      </c>
      <c r="B19" t="str">
        <f>VLOOKUP(TRIM(A19),raw_data!$A:$Q,2,0)</f>
        <v>Amoxicillin 500mg Capsules</v>
      </c>
      <c r="C19" t="str">
        <f>VLOOKUP(TRIM(A19),raw_data!$A:$Q,4,0)</f>
        <v>Antibiotic</v>
      </c>
      <c r="D19">
        <f>VLOOKUP(TRIM(A19),raw_data!$A:$Q,6,0)</f>
        <v>12.5</v>
      </c>
      <c r="E19">
        <f>SUMIF(sales_data!B:B,A19,sales_data!D:D)</f>
        <v>35</v>
      </c>
      <c r="F19">
        <f t="shared" si="0"/>
        <v>500</v>
      </c>
      <c r="G19">
        <f t="shared" si="1"/>
        <v>3.13</v>
      </c>
      <c r="H19">
        <f t="shared" si="2"/>
        <v>75</v>
      </c>
      <c r="I19">
        <f>IFERROR(SUMIF(raw_data!A:A,A19,raw_data!J:J)/ COUNTIF(raw_data!A:A,A19),0)</f>
        <v>234</v>
      </c>
      <c r="J19">
        <f>IFERROR(SUMIF(raw_data!$A:$A,A19,raw_data!$I:$I)/ COUNTIF(raw_data!$A:$A,A19),0)</f>
        <v>44</v>
      </c>
      <c r="K19">
        <f t="shared" si="3"/>
        <v>-159</v>
      </c>
    </row>
    <row r="20" spans="1:11" x14ac:dyDescent="0.3">
      <c r="A20" s="6" t="s">
        <v>90</v>
      </c>
      <c r="B20" t="str">
        <f>VLOOKUP(TRIM(A20),raw_data!$A:$Q,2,0)</f>
        <v>Omeprazole 20mg Capsules</v>
      </c>
      <c r="C20" t="str">
        <f>VLOOKUP(TRIM(A20),raw_data!$A:$Q,4,0)</f>
        <v>Antacid</v>
      </c>
      <c r="D20">
        <f>VLOOKUP(TRIM(A20),raw_data!$A:$Q,6,0)</f>
        <v>9</v>
      </c>
      <c r="E20">
        <f>SUMIF(sales_data!B:B,A20,sales_data!D:D)</f>
        <v>41</v>
      </c>
      <c r="F20">
        <f t="shared" si="0"/>
        <v>500</v>
      </c>
      <c r="G20">
        <f t="shared" si="1"/>
        <v>2.25</v>
      </c>
      <c r="H20">
        <f t="shared" si="2"/>
        <v>95</v>
      </c>
      <c r="I20">
        <f>IFERROR(SUMIF(raw_data!A:A,A20,raw_data!J:J)/ COUNTIF(raw_data!A:A,A20),0)</f>
        <v>221</v>
      </c>
      <c r="J20">
        <f>IFERROR(SUMIF(raw_data!$A:$A,A20,raw_data!$I:$I)/ COUNTIF(raw_data!$A:$A,A20),0)</f>
        <v>42</v>
      </c>
      <c r="K20">
        <f t="shared" si="3"/>
        <v>-126</v>
      </c>
    </row>
    <row r="21" spans="1:11" x14ac:dyDescent="0.3">
      <c r="A21" s="6" t="s">
        <v>94</v>
      </c>
      <c r="B21" t="str">
        <f>VLOOKUP(TRIM(A21),raw_data!$A:$Q,2,0)</f>
        <v>Ibuprofen 400mg Tablets</v>
      </c>
      <c r="C21" t="str">
        <f>VLOOKUP(TRIM(A21),raw_data!$A:$Q,4,0)</f>
        <v>NSAID</v>
      </c>
      <c r="D21">
        <f>VLOOKUP(TRIM(A21),raw_data!$A:$Q,6,0)</f>
        <v>6.5</v>
      </c>
      <c r="E21">
        <f>SUMIF(sales_data!B:B,A21,sales_data!D:D)</f>
        <v>33</v>
      </c>
      <c r="F21">
        <f t="shared" si="0"/>
        <v>500</v>
      </c>
      <c r="G21">
        <f t="shared" si="1"/>
        <v>1.63</v>
      </c>
      <c r="H21">
        <f t="shared" si="2"/>
        <v>101</v>
      </c>
      <c r="I21">
        <f>IFERROR(SUMIF(raw_data!A:A,A21,raw_data!J:J)/ COUNTIF(raw_data!A:A,A21),0)</f>
        <v>165.5</v>
      </c>
      <c r="J21">
        <f>IFERROR(SUMIF(raw_data!$A:$A,A21,raw_data!$I:$I)/ COUNTIF(raw_data!$A:$A,A21),0)</f>
        <v>60</v>
      </c>
      <c r="K21">
        <f t="shared" si="3"/>
        <v>-64.5</v>
      </c>
    </row>
    <row r="22" spans="1:11" x14ac:dyDescent="0.3">
      <c r="A22" s="6" t="s">
        <v>100</v>
      </c>
      <c r="B22" t="str">
        <f>VLOOKUP(TRIM(A22),raw_data!$A:$Q,2,0)</f>
        <v>Fluconazole 150mg Capsules</v>
      </c>
      <c r="C22" t="str">
        <f>VLOOKUP(TRIM(A22),raw_data!$A:$Q,4,0)</f>
        <v>Antifungal</v>
      </c>
      <c r="D22">
        <f>VLOOKUP(TRIM(A22),raw_data!$A:$Q,6,0)</f>
        <v>25</v>
      </c>
      <c r="E22">
        <f>SUMIF(sales_data!B:B,A22,sales_data!D:D)</f>
        <v>25</v>
      </c>
      <c r="F22">
        <f t="shared" si="0"/>
        <v>500</v>
      </c>
      <c r="G22">
        <f t="shared" si="1"/>
        <v>6.25</v>
      </c>
      <c r="H22">
        <f t="shared" si="2"/>
        <v>45</v>
      </c>
      <c r="I22">
        <f>IFERROR(SUMIF(raw_data!A:A,A22,raw_data!J:J)/ COUNTIF(raw_data!A:A,A22),0)</f>
        <v>262.5</v>
      </c>
      <c r="J22">
        <f>IFERROR(SUMIF(raw_data!$A:$A,A22,raw_data!$I:$I)/ COUNTIF(raw_data!$A:$A,A22),0)</f>
        <v>53</v>
      </c>
      <c r="K22">
        <f t="shared" si="3"/>
        <v>-217.5</v>
      </c>
    </row>
    <row r="23" spans="1:11" x14ac:dyDescent="0.3">
      <c r="A23" s="6" t="s">
        <v>105</v>
      </c>
      <c r="B23" t="str">
        <f>VLOOKUP(TRIM(A23),raw_data!$A:$Q,2,0)</f>
        <v>Metronidazole 400mg Tablets</v>
      </c>
      <c r="C23" t="str">
        <f>VLOOKUP(TRIM(A23),raw_data!$A:$Q,4,0)</f>
        <v>Antibiotic</v>
      </c>
      <c r="D23">
        <f>VLOOKUP(TRIM(A23),raw_data!$A:$Q,6,0)</f>
        <v>7.5</v>
      </c>
      <c r="E23">
        <f>SUMIF(sales_data!B:B,A23,sales_data!D:D)</f>
        <v>71</v>
      </c>
      <c r="F23">
        <f t="shared" si="0"/>
        <v>500</v>
      </c>
      <c r="G23">
        <f t="shared" si="1"/>
        <v>1.88</v>
      </c>
      <c r="H23">
        <f t="shared" si="2"/>
        <v>137</v>
      </c>
      <c r="I23">
        <f>IFERROR(SUMIF(raw_data!A:A,A23,raw_data!J:J)/ COUNTIF(raw_data!A:A,A23),0)</f>
        <v>240</v>
      </c>
      <c r="J23">
        <f>IFERROR(SUMIF(raw_data!$A:$A,A23,raw_data!$I:$I)/ COUNTIF(raw_data!$A:$A,A23),0)</f>
        <v>60.5</v>
      </c>
      <c r="K23">
        <f t="shared" si="3"/>
        <v>-103</v>
      </c>
    </row>
    <row r="24" spans="1:11" x14ac:dyDescent="0.3">
      <c r="A24" s="6" t="s">
        <v>109</v>
      </c>
      <c r="B24" t="str">
        <f>VLOOKUP(TRIM(A24),raw_data!$A:$Q,2,0)</f>
        <v>Tramadol 50mg Capsules</v>
      </c>
      <c r="C24" t="str">
        <f>VLOOKUP(TRIM(A24),raw_data!$A:$Q,4,0)</f>
        <v>Opioid Analgesic</v>
      </c>
      <c r="D24">
        <f>VLOOKUP(TRIM(A24),raw_data!$A:$Q,6,0)</f>
        <v>30</v>
      </c>
      <c r="E24">
        <f>SUMIF(sales_data!B:B,A24,sales_data!D:D)</f>
        <v>21</v>
      </c>
      <c r="F24">
        <f t="shared" si="0"/>
        <v>500</v>
      </c>
      <c r="G24">
        <f t="shared" si="1"/>
        <v>7.5</v>
      </c>
      <c r="H24">
        <f t="shared" si="2"/>
        <v>37</v>
      </c>
      <c r="I24">
        <f>IFERROR(SUMIF(raw_data!A:A,A24,raw_data!J:J)/ COUNTIF(raw_data!A:A,A24),0)</f>
        <v>384</v>
      </c>
      <c r="J24">
        <f>IFERROR(SUMIF(raw_data!$A:$A,A24,raw_data!$I:$I)/ COUNTIF(raw_data!$A:$A,A24),0)</f>
        <v>22</v>
      </c>
      <c r="K24">
        <f t="shared" si="3"/>
        <v>-347</v>
      </c>
    </row>
    <row r="25" spans="1:11" x14ac:dyDescent="0.3">
      <c r="A25" s="6" t="s">
        <v>114</v>
      </c>
      <c r="B25" t="str">
        <f>VLOOKUP(TRIM(A25),raw_data!$A:$Q,2,0)</f>
        <v>Glibenclamide 5mg Tablets</v>
      </c>
      <c r="C25" t="str">
        <f>VLOOKUP(TRIM(A25),raw_data!$A:$Q,4,0)</f>
        <v>Antidiabetic</v>
      </c>
      <c r="D25">
        <f>VLOOKUP(TRIM(A25),raw_data!$A:$Q,6,0)</f>
        <v>7</v>
      </c>
      <c r="E25">
        <f>SUMIF(sales_data!B:B,A25,sales_data!D:D)</f>
        <v>50</v>
      </c>
      <c r="F25">
        <f t="shared" si="0"/>
        <v>500</v>
      </c>
      <c r="G25">
        <f t="shared" si="1"/>
        <v>1.75</v>
      </c>
      <c r="H25">
        <f t="shared" si="2"/>
        <v>120</v>
      </c>
      <c r="I25">
        <f>IFERROR(SUMIF(raw_data!A:A,A25,raw_data!J:J)/ COUNTIF(raw_data!A:A,A25),0)</f>
        <v>300.5</v>
      </c>
      <c r="J25">
        <f>IFERROR(SUMIF(raw_data!$A:$A,A25,raw_data!$I:$I)/ COUNTIF(raw_data!$A:$A,A25),0)</f>
        <v>62.5</v>
      </c>
      <c r="K25">
        <f t="shared" si="3"/>
        <v>-180.5</v>
      </c>
    </row>
    <row r="26" spans="1:11" x14ac:dyDescent="0.3">
      <c r="A26" s="6" t="s">
        <v>120</v>
      </c>
      <c r="B26" t="str">
        <f>VLOOKUP(TRIM(A26),raw_data!$A:$Q,2,0)</f>
        <v>Eye Drops Ciprofloxacin 0.3%</v>
      </c>
      <c r="C26" t="str">
        <f>VLOOKUP(TRIM(A26),raw_data!$A:$Q,4,0)</f>
        <v>Antibiotic</v>
      </c>
      <c r="D26">
        <f>VLOOKUP(TRIM(A26),raw_data!$A:$Q,6,0)</f>
        <v>35</v>
      </c>
      <c r="E26">
        <f>SUMIF(sales_data!B:B,A26,sales_data!D:D)</f>
        <v>50</v>
      </c>
      <c r="F26">
        <f t="shared" si="0"/>
        <v>500</v>
      </c>
      <c r="G26">
        <f t="shared" si="1"/>
        <v>8.75</v>
      </c>
      <c r="H26">
        <f t="shared" si="2"/>
        <v>53</v>
      </c>
      <c r="I26">
        <f>IFERROR(SUMIF(raw_data!A:A,A26,raw_data!J:J)/ COUNTIF(raw_data!A:A,A26),0)</f>
        <v>359</v>
      </c>
      <c r="J26">
        <f>IFERROR(SUMIF(raw_data!$A:$A,A26,raw_data!$I:$I)/ COUNTIF(raw_data!$A:$A,A26),0)</f>
        <v>34.5</v>
      </c>
      <c r="K26">
        <f t="shared" si="3"/>
        <v>-306</v>
      </c>
    </row>
    <row r="27" spans="1:11" x14ac:dyDescent="0.3">
      <c r="A27" s="6" t="s">
        <v>124</v>
      </c>
      <c r="B27" t="str">
        <f>VLOOKUP(TRIM(A27),raw_data!$A:$Q,2,0)</f>
        <v>Azithromycin 250mg Tablets</v>
      </c>
      <c r="C27" t="str">
        <f>VLOOKUP(TRIM(A27),raw_data!$A:$Q,4,0)</f>
        <v>Antibiotic</v>
      </c>
      <c r="D27">
        <f>VLOOKUP(TRIM(A27),raw_data!$A:$Q,6,0)</f>
        <v>22</v>
      </c>
      <c r="E27">
        <f>SUMIF(sales_data!B:B,A27,sales_data!D:D)</f>
        <v>80</v>
      </c>
      <c r="F27">
        <f t="shared" si="0"/>
        <v>500</v>
      </c>
      <c r="G27">
        <f t="shared" si="1"/>
        <v>5.5</v>
      </c>
      <c r="H27">
        <f t="shared" si="2"/>
        <v>85</v>
      </c>
      <c r="I27">
        <f>IFERROR(SUMIF(raw_data!A:A,A27,raw_data!J:J)/ COUNTIF(raw_data!A:A,A27),0)</f>
        <v>296.5</v>
      </c>
      <c r="J27">
        <f>IFERROR(SUMIF(raw_data!$A:$A,A27,raw_data!$I:$I)/ COUNTIF(raw_data!$A:$A,A27),0)</f>
        <v>56.5</v>
      </c>
      <c r="K27">
        <f t="shared" si="3"/>
        <v>-211.5</v>
      </c>
    </row>
    <row r="28" spans="1:11" x14ac:dyDescent="0.3">
      <c r="A28" s="6" t="s">
        <v>128</v>
      </c>
      <c r="B28" t="str">
        <f>VLOOKUP(TRIM(A28),raw_data!$A:$Q,2,0)</f>
        <v>Ondansetron 4mg Tablets</v>
      </c>
      <c r="C28" t="str">
        <f>VLOOKUP(TRIM(A28),raw_data!$A:$Q,4,0)</f>
        <v>Antiemetic</v>
      </c>
      <c r="D28">
        <f>VLOOKUP(TRIM(A28),raw_data!$A:$Q,6,0)</f>
        <v>16</v>
      </c>
      <c r="E28">
        <f>SUMIF(sales_data!B:B,A28,sales_data!D:D)</f>
        <v>83</v>
      </c>
      <c r="F28">
        <f t="shared" si="0"/>
        <v>500</v>
      </c>
      <c r="G28">
        <f t="shared" si="1"/>
        <v>4</v>
      </c>
      <c r="H28">
        <f t="shared" si="2"/>
        <v>102</v>
      </c>
      <c r="I28">
        <f>IFERROR(SUMIF(raw_data!A:A,A28,raw_data!J:J)/ COUNTIF(raw_data!A:A,A28),0)</f>
        <v>258</v>
      </c>
      <c r="J28">
        <f>IFERROR(SUMIF(raw_data!$A:$A,A28,raw_data!$I:$I)/ COUNTIF(raw_data!$A:$A,A28),0)</f>
        <v>56.5</v>
      </c>
      <c r="K28">
        <f t="shared" si="3"/>
        <v>-156</v>
      </c>
    </row>
    <row r="29" spans="1:11" x14ac:dyDescent="0.3">
      <c r="A29" s="6" t="s">
        <v>134</v>
      </c>
      <c r="B29" t="str">
        <f>VLOOKUP(TRIM(A29),raw_data!$A:$Q,2,0)</f>
        <v>Cough Syrup 100ml</v>
      </c>
      <c r="C29" t="str">
        <f>VLOOKUP(TRIM(A29),raw_data!$A:$Q,4,0)</f>
        <v>Cough Suppressant</v>
      </c>
      <c r="D29">
        <f>VLOOKUP(TRIM(A29),raw_data!$A:$Q,6,0)</f>
        <v>38</v>
      </c>
      <c r="E29">
        <f>SUMIF(sales_data!B:B,A29,sales_data!D:D)</f>
        <v>40</v>
      </c>
      <c r="F29">
        <f t="shared" si="0"/>
        <v>500</v>
      </c>
      <c r="G29">
        <f t="shared" si="1"/>
        <v>9.5</v>
      </c>
      <c r="H29">
        <f t="shared" si="2"/>
        <v>46</v>
      </c>
      <c r="I29">
        <f>IFERROR(SUMIF(raw_data!A:A,A29,raw_data!J:J)/ COUNTIF(raw_data!A:A,A29),0)</f>
        <v>161</v>
      </c>
      <c r="J29">
        <f>IFERROR(SUMIF(raw_data!$A:$A,A29,raw_data!$I:$I)/ COUNTIF(raw_data!$A:$A,A29),0)</f>
        <v>46.5</v>
      </c>
      <c r="K29">
        <f t="shared" si="3"/>
        <v>-115</v>
      </c>
    </row>
    <row r="30" spans="1:11" x14ac:dyDescent="0.3">
      <c r="A30" s="6" t="s">
        <v>139</v>
      </c>
      <c r="B30" t="str">
        <f>VLOOKUP(TRIM(A30),raw_data!$A:$Q,2,0)</f>
        <v>Ranitidine 150mg Tablets</v>
      </c>
      <c r="C30" t="str">
        <f>VLOOKUP(TRIM(A30),raw_data!$A:$Q,4,0)</f>
        <v>Antacid</v>
      </c>
      <c r="D30">
        <f>VLOOKUP(TRIM(A30),raw_data!$A:$Q,6,0)</f>
        <v>6</v>
      </c>
      <c r="E30">
        <f>SUMIF(sales_data!B:B,A30,sales_data!D:D)</f>
        <v>73</v>
      </c>
      <c r="F30">
        <f t="shared" si="0"/>
        <v>500</v>
      </c>
      <c r="G30">
        <f t="shared" si="1"/>
        <v>1.5</v>
      </c>
      <c r="H30">
        <f t="shared" si="2"/>
        <v>156</v>
      </c>
      <c r="I30">
        <f>IFERROR(SUMIF(raw_data!A:A,A30,raw_data!J:J)/ COUNTIF(raw_data!A:A,A30),0)</f>
        <v>283</v>
      </c>
      <c r="J30">
        <f>IFERROR(SUMIF(raw_data!$A:$A,A30,raw_data!$I:$I)/ COUNTIF(raw_data!$A:$A,A30),0)</f>
        <v>49</v>
      </c>
      <c r="K30">
        <f t="shared" si="3"/>
        <v>-127</v>
      </c>
    </row>
    <row r="31" spans="1:11" x14ac:dyDescent="0.3">
      <c r="A31" s="6" t="s">
        <v>144</v>
      </c>
      <c r="B31" t="str">
        <f>VLOOKUP(TRIM(A31),raw_data!$A:$Q,2,0)</f>
        <v>Clopidogrel 75mg Tablets</v>
      </c>
      <c r="C31" t="str">
        <f>VLOOKUP(TRIM(A31),raw_data!$A:$Q,4,0)</f>
        <v>Antiplatelet</v>
      </c>
      <c r="D31">
        <f>VLOOKUP(TRIM(A31),raw_data!$A:$Q,6,0)</f>
        <v>20</v>
      </c>
      <c r="E31">
        <f>SUMIF(sales_data!B:B,A31,sales_data!D:D)</f>
        <v>35</v>
      </c>
      <c r="F31">
        <f t="shared" si="0"/>
        <v>500</v>
      </c>
      <c r="G31">
        <f t="shared" si="1"/>
        <v>5</v>
      </c>
      <c r="H31">
        <f t="shared" si="2"/>
        <v>59</v>
      </c>
      <c r="I31">
        <f>IFERROR(SUMIF(raw_data!A:A,A31,raw_data!J:J)/ COUNTIF(raw_data!A:A,A31),0)</f>
        <v>348.5</v>
      </c>
      <c r="J31">
        <f>IFERROR(SUMIF(raw_data!$A:$A,A31,raw_data!$I:$I)/ COUNTIF(raw_data!$A:$A,A31),0)</f>
        <v>58.5</v>
      </c>
      <c r="K31">
        <f t="shared" si="3"/>
        <v>-289.5</v>
      </c>
    </row>
    <row r="32" spans="1:11" x14ac:dyDescent="0.3">
      <c r="A32" s="6" t="s">
        <v>149</v>
      </c>
      <c r="B32" t="str">
        <f>VLOOKUP(TRIM(A32),raw_data!$A:$Q,2,0)</f>
        <v>Prednisolone 5mg Tablets</v>
      </c>
      <c r="C32" t="str">
        <f>VLOOKUP(TRIM(A32),raw_data!$A:$Q,4,0)</f>
        <v>Corticosteroid</v>
      </c>
      <c r="D32">
        <f>VLOOKUP(TRIM(A32),raw_data!$A:$Q,6,0)</f>
        <v>11.5</v>
      </c>
      <c r="E32">
        <f>SUMIF(sales_data!B:B,A32,sales_data!D:D)</f>
        <v>64</v>
      </c>
      <c r="F32">
        <f t="shared" si="0"/>
        <v>500</v>
      </c>
      <c r="G32">
        <f t="shared" si="1"/>
        <v>2.88</v>
      </c>
      <c r="H32">
        <f t="shared" si="2"/>
        <v>105</v>
      </c>
      <c r="I32">
        <f>IFERROR(SUMIF(raw_data!A:A,A32,raw_data!J:J)/ COUNTIF(raw_data!A:A,A32),0)</f>
        <v>336</v>
      </c>
      <c r="J32">
        <f>IFERROR(SUMIF(raw_data!$A:$A,A32,raw_data!$I:$I)/ COUNTIF(raw_data!$A:$A,A32),0)</f>
        <v>48.5</v>
      </c>
      <c r="K32">
        <f t="shared" si="3"/>
        <v>-231</v>
      </c>
    </row>
    <row r="33" spans="1:11" x14ac:dyDescent="0.3">
      <c r="A33" s="6" t="s">
        <v>154</v>
      </c>
      <c r="B33" t="str">
        <f>VLOOKUP(TRIM(A33),raw_data!$A:$Q,2,0)</f>
        <v>Dexamethasone 4mg Injection</v>
      </c>
      <c r="C33" t="str">
        <f>VLOOKUP(TRIM(A33),raw_data!$A:$Q,4,0)</f>
        <v>Corticosteroid</v>
      </c>
      <c r="D33">
        <f>VLOOKUP(TRIM(A33),raw_data!$A:$Q,6,0)</f>
        <v>35</v>
      </c>
      <c r="E33">
        <f>SUMIF(sales_data!B:B,A33,sales_data!D:D)</f>
        <v>61</v>
      </c>
      <c r="F33">
        <f t="shared" si="0"/>
        <v>500</v>
      </c>
      <c r="G33">
        <f t="shared" si="1"/>
        <v>8.75</v>
      </c>
      <c r="H33">
        <f t="shared" si="2"/>
        <v>59</v>
      </c>
      <c r="I33">
        <f>IFERROR(SUMIF(raw_data!A:A,A33,raw_data!J:J)/ COUNTIF(raw_data!A:A,A33),0)</f>
        <v>211.5</v>
      </c>
      <c r="J33">
        <f>IFERROR(SUMIF(raw_data!$A:$A,A33,raw_data!$I:$I)/ COUNTIF(raw_data!$A:$A,A33),0)</f>
        <v>66.5</v>
      </c>
      <c r="K33">
        <f t="shared" si="3"/>
        <v>-152.5</v>
      </c>
    </row>
    <row r="34" spans="1:11" x14ac:dyDescent="0.3">
      <c r="A34" s="6" t="s">
        <v>160</v>
      </c>
      <c r="B34" t="str">
        <f>VLOOKUP(TRIM(A34),raw_data!$A:$Q,2,0)</f>
        <v>Ceftriaxone 1g Injection</v>
      </c>
      <c r="C34" t="str">
        <f>VLOOKUP(TRIM(A34),raw_data!$A:$Q,4,0)</f>
        <v>Antibiotic</v>
      </c>
      <c r="D34">
        <f>VLOOKUP(TRIM(A34),raw_data!$A:$Q,6,0)</f>
        <v>85</v>
      </c>
      <c r="E34">
        <f>SUMIF(sales_data!B:B,A34,sales_data!D:D)</f>
        <v>68</v>
      </c>
      <c r="F34">
        <f t="shared" si="0"/>
        <v>500</v>
      </c>
      <c r="G34">
        <f t="shared" si="1"/>
        <v>21.25</v>
      </c>
      <c r="H34">
        <f t="shared" si="2"/>
        <v>40</v>
      </c>
      <c r="I34">
        <f>IFERROR(SUMIF(raw_data!A:A,A34,raw_data!J:J)/ COUNTIF(raw_data!A:A,A34),0)</f>
        <v>316.5</v>
      </c>
      <c r="J34">
        <f>IFERROR(SUMIF(raw_data!$A:$A,A34,raw_data!$I:$I)/ COUNTIF(raw_data!$A:$A,A34),0)</f>
        <v>57</v>
      </c>
      <c r="K34">
        <f t="shared" si="3"/>
        <v>-276.5</v>
      </c>
    </row>
    <row r="35" spans="1:11" x14ac:dyDescent="0.3">
      <c r="A35" s="6" t="s">
        <v>164</v>
      </c>
      <c r="B35" t="str">
        <f>VLOOKUP(TRIM(A35),raw_data!$A:$Q,2,0)</f>
        <v>Salbutamol Inhaler 100mcg</v>
      </c>
      <c r="C35" t="str">
        <f>VLOOKUP(TRIM(A35),raw_data!$A:$Q,4,0)</f>
        <v>Bronchodilator</v>
      </c>
      <c r="D35">
        <f>VLOOKUP(TRIM(A35),raw_data!$A:$Q,6,0)</f>
        <v>45</v>
      </c>
      <c r="E35">
        <f>SUMIF(sales_data!B:B,A35,sales_data!D:D)</f>
        <v>36</v>
      </c>
      <c r="F35">
        <f t="shared" si="0"/>
        <v>500</v>
      </c>
      <c r="G35">
        <f t="shared" si="1"/>
        <v>11.25</v>
      </c>
      <c r="H35">
        <f t="shared" si="2"/>
        <v>40</v>
      </c>
      <c r="I35">
        <f>IFERROR(SUMIF(raw_data!A:A,A35,raw_data!J:J)/ COUNTIF(raw_data!A:A,A35),0)</f>
        <v>246.5</v>
      </c>
      <c r="J35">
        <f>IFERROR(SUMIF(raw_data!$A:$A,A35,raw_data!$I:$I)/ COUNTIF(raw_data!$A:$A,A35),0)</f>
        <v>49</v>
      </c>
      <c r="K35">
        <f t="shared" si="3"/>
        <v>-206.5</v>
      </c>
    </row>
    <row r="36" spans="1:11" x14ac:dyDescent="0.3">
      <c r="A36" s="6" t="s">
        <v>171</v>
      </c>
      <c r="B36" t="str">
        <f>VLOOKUP(TRIM(A36),raw_data!$A:$Q,2,0)</f>
        <v>Amitriptyline 25mg Tablets</v>
      </c>
      <c r="C36" t="str">
        <f>VLOOKUP(TRIM(A36),raw_data!$A:$Q,4,0)</f>
        <v>Antidepressant</v>
      </c>
      <c r="D36">
        <f>VLOOKUP(TRIM(A36),raw_data!$A:$Q,6,0)</f>
        <v>9.5</v>
      </c>
      <c r="E36">
        <f>SUMIF(sales_data!B:B,A36,sales_data!D:D)</f>
        <v>78</v>
      </c>
      <c r="F36">
        <f t="shared" si="0"/>
        <v>500</v>
      </c>
      <c r="G36">
        <f t="shared" si="1"/>
        <v>2.38</v>
      </c>
      <c r="H36">
        <f t="shared" si="2"/>
        <v>128</v>
      </c>
      <c r="I36">
        <f>IFERROR(SUMIF(raw_data!A:A,A36,raw_data!J:J)/ COUNTIF(raw_data!A:A,A36),0)</f>
        <v>179</v>
      </c>
      <c r="J36">
        <f>IFERROR(SUMIF(raw_data!$A:$A,A36,raw_data!$I:$I)/ COUNTIF(raw_data!$A:$A,A36),0)</f>
        <v>32</v>
      </c>
      <c r="K36">
        <f t="shared" si="3"/>
        <v>-51</v>
      </c>
    </row>
    <row r="37" spans="1:11" x14ac:dyDescent="0.3">
      <c r="A37" s="6" t="s">
        <v>176</v>
      </c>
      <c r="B37" t="str">
        <f>VLOOKUP(TRIM(A37),raw_data!$A:$Q,2,0)</f>
        <v>Aspirin 75mg Tablets</v>
      </c>
      <c r="C37" t="str">
        <f>VLOOKUP(TRIM(A37),raw_data!$A:$Q,4,0)</f>
        <v>Antiplatelet</v>
      </c>
      <c r="D37">
        <f>VLOOKUP(TRIM(A37),raw_data!$A:$Q,6,0)</f>
        <v>4</v>
      </c>
      <c r="E37">
        <f>SUMIF(sales_data!B:B,A37,sales_data!D:D)</f>
        <v>52</v>
      </c>
      <c r="F37">
        <f t="shared" si="0"/>
        <v>500</v>
      </c>
      <c r="G37">
        <f t="shared" si="1"/>
        <v>1</v>
      </c>
      <c r="H37">
        <f t="shared" si="2"/>
        <v>161</v>
      </c>
      <c r="I37">
        <f>IFERROR(SUMIF(raw_data!A:A,A37,raw_data!J:J)/ COUNTIF(raw_data!A:A,A37),0)</f>
        <v>197.5</v>
      </c>
      <c r="J37">
        <f>IFERROR(SUMIF(raw_data!$A:$A,A37,raw_data!$I:$I)/ COUNTIF(raw_data!$A:$A,A37),0)</f>
        <v>25</v>
      </c>
      <c r="K37">
        <f t="shared" si="3"/>
        <v>-36.5</v>
      </c>
    </row>
    <row r="38" spans="1:11" x14ac:dyDescent="0.3">
      <c r="A38" s="6" t="s">
        <v>180</v>
      </c>
      <c r="B38" t="str">
        <f>VLOOKUP(TRIM(A38),raw_data!$A:$Q,2,0)</f>
        <v>Diazepam 5mg Tablets</v>
      </c>
      <c r="C38" t="str">
        <f>VLOOKUP(TRIM(A38),raw_data!$A:$Q,4,0)</f>
        <v>Anxiolytic</v>
      </c>
      <c r="D38">
        <f>VLOOKUP(TRIM(A38),raw_data!$A:$Q,6,0)</f>
        <v>12</v>
      </c>
      <c r="E38">
        <f>SUMIF(sales_data!B:B,A38,sales_data!D:D)</f>
        <v>74</v>
      </c>
      <c r="F38">
        <f t="shared" si="0"/>
        <v>500</v>
      </c>
      <c r="G38">
        <f t="shared" si="1"/>
        <v>3</v>
      </c>
      <c r="H38">
        <f t="shared" si="2"/>
        <v>111</v>
      </c>
      <c r="I38">
        <f>IFERROR(SUMIF(raw_data!A:A,A38,raw_data!J:J)/ COUNTIF(raw_data!A:A,A38),0)</f>
        <v>254</v>
      </c>
      <c r="J38">
        <f>IFERROR(SUMIF(raw_data!$A:$A,A38,raw_data!$I:$I)/ COUNTIF(raw_data!$A:$A,A38),0)</f>
        <v>60</v>
      </c>
      <c r="K38">
        <f t="shared" si="3"/>
        <v>-143</v>
      </c>
    </row>
    <row r="39" spans="1:11" x14ac:dyDescent="0.3">
      <c r="A39" s="6" t="s">
        <v>185</v>
      </c>
      <c r="B39" t="str">
        <f>VLOOKUP(TRIM(A39),raw_data!$A:$Q,2,0)</f>
        <v>Hydrocortisone Cream 1%</v>
      </c>
      <c r="C39" t="str">
        <f>VLOOKUP(TRIM(A39),raw_data!$A:$Q,4,0)</f>
        <v>Corticosteroid</v>
      </c>
      <c r="D39">
        <f>VLOOKUP(TRIM(A39),raw_data!$A:$Q,6,0)</f>
        <v>28</v>
      </c>
      <c r="E39">
        <f>SUMIF(sales_data!B:B,A39,sales_data!D:D)</f>
        <v>48</v>
      </c>
      <c r="F39">
        <f t="shared" si="0"/>
        <v>500</v>
      </c>
      <c r="G39">
        <f t="shared" si="1"/>
        <v>7</v>
      </c>
      <c r="H39">
        <f t="shared" si="2"/>
        <v>59</v>
      </c>
      <c r="I39">
        <f>IFERROR(SUMIF(raw_data!A:A,A39,raw_data!J:J)/ COUNTIF(raw_data!A:A,A39),0)</f>
        <v>249.5</v>
      </c>
      <c r="J39">
        <f>IFERROR(SUMIF(raw_data!$A:$A,A39,raw_data!$I:$I)/ COUNTIF(raw_data!$A:$A,A39),0)</f>
        <v>64.5</v>
      </c>
      <c r="K39">
        <f t="shared" si="3"/>
        <v>-190.5</v>
      </c>
    </row>
    <row r="40" spans="1:11" x14ac:dyDescent="0.3">
      <c r="A40" s="6" t="s">
        <v>195</v>
      </c>
      <c r="B40" t="str">
        <f>VLOOKUP(TRIM(A40),raw_data!$A:$Q,2,0)</f>
        <v>Folic Acid 5mg Tablets</v>
      </c>
      <c r="C40" t="str">
        <f>VLOOKUP(TRIM(A40),raw_data!$A:$Q,4,0)</f>
        <v>Vitamin</v>
      </c>
      <c r="D40">
        <f>VLOOKUP(TRIM(A40),raw_data!$A:$Q,6,0)</f>
        <v>3.5</v>
      </c>
      <c r="E40">
        <f>SUMIF(sales_data!B:B,A40,sales_data!D:D)</f>
        <v>38</v>
      </c>
      <c r="F40">
        <f t="shared" si="0"/>
        <v>500</v>
      </c>
      <c r="G40">
        <f t="shared" si="1"/>
        <v>0.88</v>
      </c>
      <c r="H40">
        <f t="shared" si="2"/>
        <v>147</v>
      </c>
      <c r="I40">
        <f>IFERROR(SUMIF(raw_data!A:A,A40,raw_data!J:J)/ COUNTIF(raw_data!A:A,A40),0)</f>
        <v>259</v>
      </c>
      <c r="J40">
        <f>IFERROR(SUMIF(raw_data!$A:$A,A40,raw_data!$I:$I)/ COUNTIF(raw_data!$A:$A,A40),0)</f>
        <v>72.5</v>
      </c>
      <c r="K40">
        <f t="shared" si="3"/>
        <v>-112</v>
      </c>
    </row>
    <row r="41" spans="1:11" x14ac:dyDescent="0.3">
      <c r="A41" s="6" t="s">
        <v>199</v>
      </c>
      <c r="B41" t="str">
        <f>VLOOKUP(TRIM(A41),raw_data!$A:$Q,2,0)</f>
        <v>Oral Rehydration Salts</v>
      </c>
      <c r="C41" t="str">
        <f>VLOOKUP(TRIM(A41),raw_data!$A:$Q,4,0)</f>
        <v>Electrolyte</v>
      </c>
      <c r="D41">
        <f>VLOOKUP(TRIM(A41),raw_data!$A:$Q,6,0)</f>
        <v>3.5</v>
      </c>
      <c r="E41">
        <f>SUMIF(sales_data!B:B,A41,sales_data!D:D)</f>
        <v>128</v>
      </c>
      <c r="F41">
        <f t="shared" si="0"/>
        <v>500</v>
      </c>
      <c r="G41">
        <f t="shared" si="1"/>
        <v>0.88</v>
      </c>
      <c r="H41">
        <f t="shared" si="2"/>
        <v>270</v>
      </c>
      <c r="I41">
        <f>IFERROR(SUMIF(raw_data!A:A,A41,raw_data!J:J)/ COUNTIF(raw_data!A:A,A41),0)</f>
        <v>221</v>
      </c>
      <c r="J41">
        <f>IFERROR(SUMIF(raw_data!$A:$A,A41,raw_data!$I:$I)/ COUNTIF(raw_data!$A:$A,A41),0)</f>
        <v>51</v>
      </c>
      <c r="K41">
        <f t="shared" si="3"/>
        <v>49</v>
      </c>
    </row>
    <row r="42" spans="1:11" x14ac:dyDescent="0.3">
      <c r="A42" s="6" t="s">
        <v>206</v>
      </c>
      <c r="B42" t="str">
        <f>VLOOKUP(TRIM(A42),raw_data!$A:$Q,2,0)</f>
        <v>Insulin Glargine 100U/ml</v>
      </c>
      <c r="C42" t="str">
        <f>VLOOKUP(TRIM(A42),raw_data!$A:$Q,4,0)</f>
        <v>Antidiabetic</v>
      </c>
      <c r="D42">
        <f>VLOOKUP(TRIM(A42),raw_data!$A:$Q,6,0)</f>
        <v>280</v>
      </c>
      <c r="E42">
        <f>SUMIF(sales_data!B:B,A42,sales_data!D:D)</f>
        <v>54</v>
      </c>
      <c r="F42">
        <f t="shared" si="0"/>
        <v>500</v>
      </c>
      <c r="G42">
        <f t="shared" si="1"/>
        <v>70</v>
      </c>
      <c r="H42">
        <f t="shared" si="2"/>
        <v>20</v>
      </c>
      <c r="I42">
        <f>IFERROR(SUMIF(raw_data!A:A,A42,raw_data!J:J)/ COUNTIF(raw_data!A:A,A42),0)</f>
        <v>285</v>
      </c>
      <c r="J42">
        <f>IFERROR(SUMIF(raw_data!$A:$A,A42,raw_data!$I:$I)/ COUNTIF(raw_data!$A:$A,A42),0)</f>
        <v>47.5</v>
      </c>
      <c r="K42">
        <f t="shared" si="3"/>
        <v>-265</v>
      </c>
    </row>
    <row r="43" spans="1:11" x14ac:dyDescent="0.3">
      <c r="A43" s="6" t="s">
        <v>211</v>
      </c>
      <c r="B43" t="str">
        <f>VLOOKUP(TRIM(A43),raw_data!$A:$Q,2,0)</f>
        <v>Erythromycin 500mg Tablets</v>
      </c>
      <c r="C43" t="str">
        <f>VLOOKUP(TRIM(A43),raw_data!$A:$Q,4,0)</f>
        <v>Antibiotic</v>
      </c>
      <c r="D43">
        <f>VLOOKUP(TRIM(A43),raw_data!$A:$Q,6,0)</f>
        <v>19</v>
      </c>
      <c r="E43">
        <f>SUMIF(sales_data!B:B,A43,sales_data!D:D)</f>
        <v>40</v>
      </c>
      <c r="F43">
        <f t="shared" si="0"/>
        <v>500</v>
      </c>
      <c r="G43">
        <f t="shared" si="1"/>
        <v>4.75</v>
      </c>
      <c r="H43">
        <f t="shared" si="2"/>
        <v>65</v>
      </c>
      <c r="I43">
        <f>IFERROR(SUMIF(raw_data!A:A,A43,raw_data!J:J)/ COUNTIF(raw_data!A:A,A43),0)</f>
        <v>152</v>
      </c>
      <c r="J43">
        <f>IFERROR(SUMIF(raw_data!$A:$A,A43,raw_data!$I:$I)/ COUNTIF(raw_data!$A:$A,A43),0)</f>
        <v>47</v>
      </c>
      <c r="K43">
        <f t="shared" si="3"/>
        <v>-87</v>
      </c>
    </row>
    <row r="44" spans="1:11" x14ac:dyDescent="0.3">
      <c r="A44" s="6" t="s">
        <v>216</v>
      </c>
      <c r="B44" t="str">
        <f>VLOOKUP(TRIM(A44),raw_data!$A:$Q,2,0)</f>
        <v>Phenytoin 100mg Tablets</v>
      </c>
      <c r="C44" t="str">
        <f>VLOOKUP(TRIM(A44),raw_data!$A:$Q,4,0)</f>
        <v>Anticonvulsant</v>
      </c>
      <c r="D44">
        <f>VLOOKUP(TRIM(A44),raw_data!$A:$Q,6,0)</f>
        <v>10</v>
      </c>
      <c r="E44">
        <f>SUMIF(sales_data!B:B,A44,sales_data!D:D)</f>
        <v>85</v>
      </c>
      <c r="F44">
        <f t="shared" si="0"/>
        <v>500</v>
      </c>
      <c r="G44">
        <f t="shared" si="1"/>
        <v>2.5</v>
      </c>
      <c r="H44">
        <f t="shared" si="2"/>
        <v>130</v>
      </c>
      <c r="I44">
        <f>IFERROR(SUMIF(raw_data!A:A,A44,raw_data!J:J)/ COUNTIF(raw_data!A:A,A44),0)</f>
        <v>272.5</v>
      </c>
      <c r="J44">
        <f>IFERROR(SUMIF(raw_data!$A:$A,A44,raw_data!$I:$I)/ COUNTIF(raw_data!$A:$A,A44),0)</f>
        <v>47.5</v>
      </c>
      <c r="K44">
        <f t="shared" si="3"/>
        <v>-142.5</v>
      </c>
    </row>
    <row r="45" spans="1:11" x14ac:dyDescent="0.3">
      <c r="A45" s="6" t="s">
        <v>224</v>
      </c>
      <c r="B45" t="str">
        <f>VLOOKUP(TRIM(A45),raw_data!$A:$Q,2,0)</f>
        <v>Digoxin 0.25mg Tablets</v>
      </c>
      <c r="C45" t="str">
        <f>VLOOKUP(TRIM(A45),raw_data!$A:$Q,4,0)</f>
        <v>Cardiac Glycoside</v>
      </c>
      <c r="D45">
        <f>VLOOKUP(TRIM(A45),raw_data!$A:$Q,6,0)</f>
        <v>9</v>
      </c>
      <c r="E45">
        <f>SUMIF(sales_data!B:B,A45,sales_data!D:D)</f>
        <v>27</v>
      </c>
      <c r="F45">
        <f t="shared" si="0"/>
        <v>500</v>
      </c>
      <c r="G45">
        <f t="shared" si="1"/>
        <v>2.25</v>
      </c>
      <c r="H45">
        <f t="shared" si="2"/>
        <v>77</v>
      </c>
      <c r="I45">
        <f>IFERROR(SUMIF(raw_data!A:A,A45,raw_data!J:J)/ COUNTIF(raw_data!A:A,A45),0)</f>
        <v>205.5</v>
      </c>
      <c r="J45">
        <f>IFERROR(SUMIF(raw_data!$A:$A,A45,raw_data!$I:$I)/ COUNTIF(raw_data!$A:$A,A45),0)</f>
        <v>60</v>
      </c>
      <c r="K45">
        <f t="shared" si="3"/>
        <v>-128.5</v>
      </c>
    </row>
    <row r="46" spans="1:11" x14ac:dyDescent="0.3">
      <c r="A46" s="6" t="s">
        <v>230</v>
      </c>
      <c r="B46" t="str">
        <f>VLOOKUP(TRIM(A46),raw_data!$A:$Q,2,0)</f>
        <v>Cetirizine 10mg Tablets</v>
      </c>
      <c r="C46" t="str">
        <f>VLOOKUP(TRIM(A46),raw_data!$A:$Q,4,0)</f>
        <v>Antihistamine</v>
      </c>
      <c r="D46">
        <f>VLOOKUP(TRIM(A46),raw_data!$A:$Q,6,0)</f>
        <v>4.5</v>
      </c>
      <c r="E46">
        <f>SUMIF(sales_data!B:B,A46,sales_data!D:D)</f>
        <v>50</v>
      </c>
      <c r="F46">
        <f t="shared" si="0"/>
        <v>500</v>
      </c>
      <c r="G46">
        <f t="shared" si="1"/>
        <v>1.1299999999999999</v>
      </c>
      <c r="H46">
        <f t="shared" si="2"/>
        <v>149</v>
      </c>
      <c r="I46">
        <f>IFERROR(SUMIF(raw_data!A:A,A46,raw_data!J:J)/ COUNTIF(raw_data!A:A,A46),0)</f>
        <v>181</v>
      </c>
      <c r="J46">
        <f>IFERROR(SUMIF(raw_data!$A:$A,A46,raw_data!$I:$I)/ COUNTIF(raw_data!$A:$A,A46),0)</f>
        <v>36</v>
      </c>
      <c r="K46">
        <f t="shared" si="3"/>
        <v>-32</v>
      </c>
    </row>
    <row r="47" spans="1:11" x14ac:dyDescent="0.3">
      <c r="A47" s="6" t="s">
        <v>235</v>
      </c>
      <c r="B47" t="str">
        <f>VLOOKUP(TRIM(A47),raw_data!$A:$Q,2,0)</f>
        <v>Losartan 50mg Tablets</v>
      </c>
      <c r="C47" t="str">
        <f>VLOOKUP(TRIM(A47),raw_data!$A:$Q,4,0)</f>
        <v>Antihypertensive</v>
      </c>
      <c r="D47">
        <f>VLOOKUP(TRIM(A47),raw_data!$A:$Q,6,0)</f>
        <v>14</v>
      </c>
      <c r="E47">
        <f>SUMIF(sales_data!B:B,A47,sales_data!D:D)</f>
        <v>76</v>
      </c>
      <c r="F47">
        <f t="shared" si="0"/>
        <v>500</v>
      </c>
      <c r="G47">
        <f t="shared" si="1"/>
        <v>3.5</v>
      </c>
      <c r="H47">
        <f t="shared" si="2"/>
        <v>104</v>
      </c>
      <c r="I47">
        <f>IFERROR(SUMIF(raw_data!A:A,A47,raw_data!J:J)/ COUNTIF(raw_data!A:A,A47),0)</f>
        <v>273</v>
      </c>
      <c r="J47">
        <f>IFERROR(SUMIF(raw_data!$A:$A,A47,raw_data!$I:$I)/ COUNTIF(raw_data!$A:$A,A47),0)</f>
        <v>38</v>
      </c>
      <c r="K47">
        <f t="shared" si="3"/>
        <v>-169</v>
      </c>
    </row>
    <row r="48" spans="1:11" x14ac:dyDescent="0.3">
      <c r="A48" s="6" t="s">
        <v>243</v>
      </c>
      <c r="B48" t="str">
        <f>VLOOKUP(TRIM(A48),raw_data!$A:$Q,2,0)</f>
        <v>Calcium + Vitamin D3 Tablet</v>
      </c>
      <c r="C48" t="str">
        <f>VLOOKUP(TRIM(A48),raw_data!$A:$Q,4,0)</f>
        <v>Supplement</v>
      </c>
      <c r="D48">
        <f>VLOOKUP(TRIM(A48),raw_data!$A:$Q,6,0)</f>
        <v>6.5</v>
      </c>
      <c r="E48">
        <f>SUMIF(sales_data!B:B,A48,sales_data!D:D)</f>
        <v>50</v>
      </c>
      <c r="F48">
        <f t="shared" si="0"/>
        <v>500</v>
      </c>
      <c r="G48">
        <f t="shared" si="1"/>
        <v>1.63</v>
      </c>
      <c r="H48">
        <f t="shared" si="2"/>
        <v>124</v>
      </c>
      <c r="I48">
        <f>IFERROR(SUMIF(raw_data!A:A,A48,raw_data!J:J)/ COUNTIF(raw_data!A:A,A48),0)</f>
        <v>214.5</v>
      </c>
      <c r="J48">
        <f>IFERROR(SUMIF(raw_data!$A:$A,A48,raw_data!$I:$I)/ COUNTIF(raw_data!$A:$A,A48),0)</f>
        <v>33</v>
      </c>
      <c r="K48">
        <f t="shared" si="3"/>
        <v>-90.5</v>
      </c>
    </row>
    <row r="49" spans="1:11" x14ac:dyDescent="0.3">
      <c r="A49" s="6" t="s">
        <v>247</v>
      </c>
      <c r="B49" t="str">
        <f>VLOOKUP(TRIM(A49),raw_data!$A:$Q,2,0)</f>
        <v>Rabeprazole 20mg Tablets</v>
      </c>
      <c r="C49" t="str">
        <f>VLOOKUP(TRIM(A49),raw_data!$A:$Q,4,0)</f>
        <v>Antacid</v>
      </c>
      <c r="D49">
        <f>VLOOKUP(TRIM(A49),raw_data!$A:$Q,6,0)</f>
        <v>11</v>
      </c>
      <c r="E49">
        <f>SUMIF(sales_data!B:B,A49,sales_data!D:D)</f>
        <v>77</v>
      </c>
      <c r="F49">
        <f t="shared" si="0"/>
        <v>500</v>
      </c>
      <c r="G49">
        <f t="shared" si="1"/>
        <v>2.75</v>
      </c>
      <c r="H49">
        <f t="shared" si="2"/>
        <v>118</v>
      </c>
      <c r="I49">
        <f>IFERROR(SUMIF(raw_data!A:A,A49,raw_data!J:J)/ COUNTIF(raw_data!A:A,A49),0)</f>
        <v>352.5</v>
      </c>
      <c r="J49">
        <f>IFERROR(SUMIF(raw_data!$A:$A,A49,raw_data!$I:$I)/ COUNTIF(raw_data!$A:$A,A49),0)</f>
        <v>49</v>
      </c>
      <c r="K49">
        <f t="shared" si="3"/>
        <v>-234.5</v>
      </c>
    </row>
    <row r="50" spans="1:11" x14ac:dyDescent="0.3">
      <c r="A50" s="6" t="s">
        <v>251</v>
      </c>
      <c r="B50" t="str">
        <f>VLOOKUP(TRIM(A50),raw_data!$A:$Q,2,0)</f>
        <v>Sertraline 50mg Tablets</v>
      </c>
      <c r="C50" t="str">
        <f>VLOOKUP(TRIM(A50),raw_data!$A:$Q,4,0)</f>
        <v>Antidepressant</v>
      </c>
      <c r="D50">
        <f>VLOOKUP(TRIM(A50),raw_data!$A:$Q,6,0)</f>
        <v>22</v>
      </c>
      <c r="E50">
        <f>SUMIF(sales_data!B:B,A50,sales_data!D:D)</f>
        <v>53</v>
      </c>
      <c r="F50">
        <f t="shared" si="0"/>
        <v>500</v>
      </c>
      <c r="G50">
        <f t="shared" si="1"/>
        <v>5.5</v>
      </c>
      <c r="H50">
        <f t="shared" si="2"/>
        <v>69</v>
      </c>
      <c r="I50">
        <f>IFERROR(SUMIF(raw_data!A:A,A50,raw_data!J:J)/ COUNTIF(raw_data!A:A,A50),0)</f>
        <v>285</v>
      </c>
      <c r="J50">
        <f>IFERROR(SUMIF(raw_data!$A:$A,A50,raw_data!$I:$I)/ COUNTIF(raw_data!$A:$A,A50),0)</f>
        <v>46.5</v>
      </c>
      <c r="K50">
        <f t="shared" si="3"/>
        <v>-216</v>
      </c>
    </row>
    <row r="51" spans="1:11" x14ac:dyDescent="0.3">
      <c r="A51" s="6" t="s">
        <v>256</v>
      </c>
      <c r="B51" t="str">
        <f>VLOOKUP(TRIM(A51),raw_data!$A:$Q,2,0)</f>
        <v>Antacid Suspension 200ml</v>
      </c>
      <c r="C51" t="str">
        <f>VLOOKUP(TRIM(A51),raw_data!$A:$Q,4,0)</f>
        <v>Antacid</v>
      </c>
      <c r="D51">
        <f>VLOOKUP(TRIM(A51),raw_data!$A:$Q,6,0)</f>
        <v>32</v>
      </c>
      <c r="E51">
        <f>SUMIF(sales_data!B:B,A51,sales_data!D:D)</f>
        <v>47</v>
      </c>
      <c r="F51">
        <f t="shared" si="0"/>
        <v>500</v>
      </c>
      <c r="G51">
        <f t="shared" si="1"/>
        <v>8</v>
      </c>
      <c r="H51">
        <f t="shared" si="2"/>
        <v>54</v>
      </c>
      <c r="I51">
        <f>IFERROR(SUMIF(raw_data!A:A,A51,raw_data!J:J)/ COUNTIF(raw_data!A:A,A51),0)</f>
        <v>195.5</v>
      </c>
      <c r="J51">
        <f>IFERROR(SUMIF(raw_data!$A:$A,A51,raw_data!$I:$I)/ COUNTIF(raw_data!$A:$A,A51),0)</f>
        <v>51</v>
      </c>
      <c r="K51">
        <f t="shared" si="3"/>
        <v>-141.5</v>
      </c>
    </row>
    <row r="52" spans="1:11" x14ac:dyDescent="0.3">
      <c r="A52" s="6" t="s">
        <v>266</v>
      </c>
      <c r="B52" t="str">
        <f>VLOOKUP(TRIM(A52),raw_data!$A:$Q,2,0)</f>
        <v>Morphine 10mg Injection</v>
      </c>
      <c r="C52" t="str">
        <f>VLOOKUP(TRIM(A52),raw_data!$A:$Q,4,0)</f>
        <v>Opioid Analgesic</v>
      </c>
      <c r="D52">
        <f>VLOOKUP(TRIM(A52),raw_data!$A:$Q,6,0)</f>
        <v>95</v>
      </c>
      <c r="E52">
        <f>SUMIF(sales_data!B:B,A52,sales_data!D:D)</f>
        <v>16</v>
      </c>
      <c r="F52">
        <f t="shared" si="0"/>
        <v>500</v>
      </c>
      <c r="G52">
        <f t="shared" si="1"/>
        <v>23.75</v>
      </c>
      <c r="H52">
        <f t="shared" si="2"/>
        <v>18</v>
      </c>
      <c r="I52">
        <f>IFERROR(SUMIF(raw_data!A:A,A52,raw_data!J:J)/ COUNTIF(raw_data!A:A,A52),0)</f>
        <v>251</v>
      </c>
      <c r="J52">
        <f>IFERROR(SUMIF(raw_data!$A:$A,A52,raw_data!$I:$I)/ COUNTIF(raw_data!$A:$A,A52),0)</f>
        <v>76</v>
      </c>
      <c r="K52">
        <f t="shared" si="3"/>
        <v>-233</v>
      </c>
    </row>
    <row r="53" spans="1:11" x14ac:dyDescent="0.3">
      <c r="A53" s="6" t="s">
        <v>276</v>
      </c>
      <c r="B53" t="str">
        <f>VLOOKUP(TRIM(A53),raw_data!$A:$Q,2,0)</f>
        <v>Naproxen 250mg Tablets</v>
      </c>
      <c r="C53" t="str">
        <f>VLOOKUP(TRIM(A53),raw_data!$A:$Q,4,0)</f>
        <v>NSAID</v>
      </c>
      <c r="D53">
        <f>VLOOKUP(TRIM(A53),raw_data!$A:$Q,6,0)</f>
        <v>8.5</v>
      </c>
      <c r="E53">
        <f>SUMIF(sales_data!B:B,A53,sales_data!D:D)</f>
        <v>90</v>
      </c>
      <c r="F53">
        <f t="shared" si="0"/>
        <v>500</v>
      </c>
      <c r="G53">
        <f t="shared" si="1"/>
        <v>2.13</v>
      </c>
      <c r="H53">
        <f t="shared" si="2"/>
        <v>145</v>
      </c>
      <c r="I53">
        <f>IFERROR(SUMIF(raw_data!A:A,A53,raw_data!J:J)/ COUNTIF(raw_data!A:A,A53),0)</f>
        <v>242</v>
      </c>
      <c r="J53">
        <f>IFERROR(SUMIF(raw_data!$A:$A,A53,raw_data!$I:$I)/ COUNTIF(raw_data!$A:$A,A53),0)</f>
        <v>62.5</v>
      </c>
      <c r="K53">
        <f t="shared" si="3"/>
        <v>-97</v>
      </c>
    </row>
    <row r="54" spans="1:11" x14ac:dyDescent="0.3">
      <c r="A54" s="6" t="s">
        <v>288</v>
      </c>
      <c r="B54" t="str">
        <f>VLOOKUP(TRIM(A54),raw_data!$A:$Q,2,0)</f>
        <v>Metformin 500mg Tablets</v>
      </c>
      <c r="C54" t="str">
        <f>VLOOKUP(TRIM(A54),raw_data!$A:$Q,4,0)</f>
        <v>Antidiabetic</v>
      </c>
      <c r="D54">
        <f>VLOOKUP(TRIM(A54),raw_data!$A:$Q,6,0)</f>
        <v>8.75</v>
      </c>
      <c r="E54">
        <f>SUMIF(sales_data!B:B,A54,sales_data!D:D)</f>
        <v>54</v>
      </c>
      <c r="F54">
        <f t="shared" si="0"/>
        <v>500</v>
      </c>
      <c r="G54">
        <f t="shared" si="1"/>
        <v>2.19</v>
      </c>
      <c r="H54">
        <f t="shared" si="2"/>
        <v>111</v>
      </c>
      <c r="I54">
        <f>IFERROR(SUMIF(raw_data!A:A,A54,raw_data!J:J)/ COUNTIF(raw_data!A:A,A54),0)</f>
        <v>252.5</v>
      </c>
      <c r="J54">
        <f>IFERROR(SUMIF(raw_data!$A:$A,A54,raw_data!$I:$I)/ COUNTIF(raw_data!$A:$A,A54),0)</f>
        <v>29</v>
      </c>
      <c r="K54">
        <f t="shared" si="3"/>
        <v>-141.5</v>
      </c>
    </row>
    <row r="55" spans="1:11" x14ac:dyDescent="0.3">
      <c r="A55" s="6" t="s">
        <v>292</v>
      </c>
      <c r="B55" t="str">
        <f>VLOOKUP(TRIM(A55),raw_data!$A:$Q,2,0)</f>
        <v>Lisinopril 10mg Tablets</v>
      </c>
      <c r="C55" t="str">
        <f>VLOOKUP(TRIM(A55),raw_data!$A:$Q,4,0)</f>
        <v>Antihypertensive</v>
      </c>
      <c r="D55">
        <f>VLOOKUP(TRIM(A55),raw_data!$A:$Q,6,0)</f>
        <v>13</v>
      </c>
      <c r="E55">
        <f>SUMIF(sales_data!B:B,A55,sales_data!D:D)</f>
        <v>82</v>
      </c>
      <c r="F55">
        <f t="shared" si="0"/>
        <v>500</v>
      </c>
      <c r="G55">
        <f t="shared" si="1"/>
        <v>3.25</v>
      </c>
      <c r="H55">
        <f t="shared" si="2"/>
        <v>112</v>
      </c>
      <c r="I55">
        <f>IFERROR(SUMIF(raw_data!A:A,A55,raw_data!J:J)/ COUNTIF(raw_data!A:A,A55),0)</f>
        <v>262.5</v>
      </c>
      <c r="J55">
        <f>IFERROR(SUMIF(raw_data!$A:$A,A55,raw_data!$I:$I)/ COUNTIF(raw_data!$A:$A,A55),0)</f>
        <v>56</v>
      </c>
      <c r="K55">
        <f t="shared" si="3"/>
        <v>-150.5</v>
      </c>
    </row>
    <row r="56" spans="1:11" x14ac:dyDescent="0.3">
      <c r="A56" s="6" t="s">
        <v>297</v>
      </c>
      <c r="B56" t="str">
        <f>VLOOKUP(TRIM(A56),raw_data!$A:$Q,2,0)</f>
        <v>Vitamin B12 500mcg Tablets</v>
      </c>
      <c r="C56" t="str">
        <f>VLOOKUP(TRIM(A56),raw_data!$A:$Q,4,0)</f>
        <v>Vitamin</v>
      </c>
      <c r="D56">
        <f>VLOOKUP(TRIM(A56),raw_data!$A:$Q,6,0)</f>
        <v>8</v>
      </c>
      <c r="E56">
        <f>SUMIF(sales_data!B:B,A56,sales_data!D:D)</f>
        <v>71</v>
      </c>
      <c r="F56">
        <f t="shared" si="0"/>
        <v>500</v>
      </c>
      <c r="G56">
        <f t="shared" si="1"/>
        <v>2</v>
      </c>
      <c r="H56">
        <f t="shared" si="2"/>
        <v>133</v>
      </c>
      <c r="I56">
        <f>IFERROR(SUMIF(raw_data!A:A,A56,raw_data!J:J)/ COUNTIF(raw_data!A:A,A56),0)</f>
        <v>265</v>
      </c>
      <c r="J56">
        <f>IFERROR(SUMIF(raw_data!$A:$A,A56,raw_data!$I:$I)/ COUNTIF(raw_data!$A:$A,A56),0)</f>
        <v>52</v>
      </c>
      <c r="K56">
        <f t="shared" si="3"/>
        <v>-132</v>
      </c>
    </row>
    <row r="57" spans="1:11" x14ac:dyDescent="0.3">
      <c r="A57" s="6" t="s">
        <v>302</v>
      </c>
      <c r="B57" t="str">
        <f>VLOOKUP(TRIM(A57),raw_data!$A:$Q,2,0)</f>
        <v>Clotrimazole Cream 1%</v>
      </c>
      <c r="C57" t="str">
        <f>VLOOKUP(TRIM(A57),raw_data!$A:$Q,4,0)</f>
        <v>Antifungal</v>
      </c>
      <c r="D57">
        <f>VLOOKUP(TRIM(A57),raw_data!$A:$Q,6,0)</f>
        <v>22</v>
      </c>
      <c r="E57">
        <f>SUMIF(sales_data!B:B,A57,sales_data!D:D)</f>
        <v>51</v>
      </c>
      <c r="F57">
        <f t="shared" si="0"/>
        <v>500</v>
      </c>
      <c r="G57">
        <f t="shared" si="1"/>
        <v>5.5</v>
      </c>
      <c r="H57">
        <f t="shared" si="2"/>
        <v>68</v>
      </c>
      <c r="I57">
        <f>IFERROR(SUMIF(raw_data!A:A,A57,raw_data!J:J)/ COUNTIF(raw_data!A:A,A57),0)</f>
        <v>328.5</v>
      </c>
      <c r="J57">
        <f>IFERROR(SUMIF(raw_data!$A:$A,A57,raw_data!$I:$I)/ COUNTIF(raw_data!$A:$A,A57),0)</f>
        <v>62</v>
      </c>
      <c r="K57">
        <f t="shared" si="3"/>
        <v>-260.5</v>
      </c>
    </row>
    <row r="58" spans="1:11" x14ac:dyDescent="0.3">
      <c r="A58" s="6" t="s">
        <v>309</v>
      </c>
      <c r="B58" t="str">
        <f>VLOOKUP(TRIM(A58),raw_data!$A:$Q,2,0)</f>
        <v>Vitamin D3 1000IU Tablets</v>
      </c>
      <c r="C58" t="str">
        <f>VLOOKUP(TRIM(A58),raw_data!$A:$Q,4,0)</f>
        <v>Vitamin</v>
      </c>
      <c r="D58">
        <f>VLOOKUP(TRIM(A58),raw_data!$A:$Q,6,0)</f>
        <v>7</v>
      </c>
      <c r="E58">
        <f>SUMIF(sales_data!B:B,A58,sales_data!D:D)</f>
        <v>29</v>
      </c>
      <c r="F58">
        <f t="shared" si="0"/>
        <v>500</v>
      </c>
      <c r="G58">
        <f t="shared" si="1"/>
        <v>1.75</v>
      </c>
      <c r="H58">
        <f t="shared" si="2"/>
        <v>91</v>
      </c>
      <c r="I58">
        <f>IFERROR(SUMIF(raw_data!A:A,A58,raw_data!J:J)/ COUNTIF(raw_data!A:A,A58),0)</f>
        <v>274.5</v>
      </c>
      <c r="J58">
        <f>IFERROR(SUMIF(raw_data!$A:$A,A58,raw_data!$I:$I)/ COUNTIF(raw_data!$A:$A,A58),0)</f>
        <v>54</v>
      </c>
      <c r="K58">
        <f t="shared" si="3"/>
        <v>-183.5</v>
      </c>
    </row>
  </sheetData>
  <mergeCells count="2">
    <mergeCell ref="A2:I2"/>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AFEA-A125-411E-9892-1EE1C8172F96}">
  <dimension ref="A1:C16"/>
  <sheetViews>
    <sheetView showGridLines="0" workbookViewId="0">
      <selection activeCell="B4" sqref="B4"/>
    </sheetView>
  </sheetViews>
  <sheetFormatPr defaultRowHeight="14.4" x14ac:dyDescent="0.3"/>
  <cols>
    <col min="1" max="1" width="19.21875" bestFit="1" customWidth="1"/>
    <col min="2" max="2" width="12.77734375" bestFit="1" customWidth="1"/>
    <col min="3" max="4" width="28.109375" bestFit="1" customWidth="1"/>
  </cols>
  <sheetData>
    <row r="1" spans="1:3" x14ac:dyDescent="0.3">
      <c r="A1" s="10" t="s">
        <v>329</v>
      </c>
      <c r="B1" s="10" t="s">
        <v>330</v>
      </c>
      <c r="C1" s="10" t="s">
        <v>339</v>
      </c>
    </row>
    <row r="2" spans="1:3" x14ac:dyDescent="0.3">
      <c r="A2" s="14" t="s">
        <v>321</v>
      </c>
      <c r="B2" s="11" cm="1">
        <f t="array" ref="B2">SUMPRODUCT(1/COUNTIF(raw_data!A2:A101,raw_data!A2:A101))</f>
        <v>50</v>
      </c>
      <c r="C2" s="9" t="s">
        <v>331</v>
      </c>
    </row>
    <row r="3" spans="1:3" x14ac:dyDescent="0.3">
      <c r="A3" s="14"/>
      <c r="B3" s="11"/>
      <c r="C3" s="9"/>
    </row>
    <row r="4" spans="1:3" x14ac:dyDescent="0.3">
      <c r="A4" s="14" t="s">
        <v>322</v>
      </c>
      <c r="B4" s="12">
        <f>SUMPRODUCT(raw_data!H2:H101,raw_data!F2:F101)</f>
        <v>591208.75</v>
      </c>
      <c r="C4" s="9" t="s">
        <v>332</v>
      </c>
    </row>
    <row r="5" spans="1:3" x14ac:dyDescent="0.3">
      <c r="A5" s="14"/>
      <c r="B5" s="11"/>
      <c r="C5" s="9"/>
    </row>
    <row r="6" spans="1:3" x14ac:dyDescent="0.3">
      <c r="A6" s="14" t="s">
        <v>327</v>
      </c>
      <c r="B6" s="13">
        <f>COUNTIF(tbl_inventory[quantity_in_stock], 0)</f>
        <v>5</v>
      </c>
      <c r="C6" s="9" t="s">
        <v>333</v>
      </c>
    </row>
    <row r="7" spans="1:3" x14ac:dyDescent="0.3">
      <c r="A7" s="14"/>
      <c r="B7" s="11"/>
      <c r="C7" s="9"/>
    </row>
    <row r="8" spans="1:3" x14ac:dyDescent="0.3">
      <c r="A8" s="14" t="s">
        <v>328</v>
      </c>
      <c r="B8" s="13" cm="1">
        <f t="array" ref="B8">SUMPRODUCT((raw_data!H2:H101&gt;0)*(raw_data!H2:H101&lt;=raw_data!I2:I101))</f>
        <v>12</v>
      </c>
      <c r="C8" s="9" t="s">
        <v>335</v>
      </c>
    </row>
    <row r="9" spans="1:3" x14ac:dyDescent="0.3">
      <c r="A9" s="14"/>
      <c r="B9" s="11"/>
      <c r="C9" s="9"/>
    </row>
    <row r="10" spans="1:3" x14ac:dyDescent="0.3">
      <c r="A10" s="14" t="s">
        <v>323</v>
      </c>
      <c r="B10" s="13">
        <f>COUNTIF(raw_data!Q2:Q101, "Expiring Soon")</f>
        <v>9</v>
      </c>
      <c r="C10" s="9" t="s">
        <v>334</v>
      </c>
    </row>
    <row r="11" spans="1:3" x14ac:dyDescent="0.3">
      <c r="A11" s="14"/>
      <c r="B11" s="11"/>
      <c r="C11" s="9"/>
    </row>
    <row r="12" spans="1:3" x14ac:dyDescent="0.3">
      <c r="A12" s="14" t="s">
        <v>324</v>
      </c>
      <c r="B12" s="13">
        <f>COUNTIF(raw_data!Q2:Q101, "Already Expired")</f>
        <v>62</v>
      </c>
      <c r="C12" s="9" t="s">
        <v>336</v>
      </c>
    </row>
    <row r="13" spans="1:3" x14ac:dyDescent="0.3">
      <c r="A13" s="14"/>
      <c r="B13" s="11"/>
      <c r="C13" s="9"/>
    </row>
    <row r="14" spans="1:3" x14ac:dyDescent="0.3">
      <c r="A14" s="14" t="s">
        <v>325</v>
      </c>
      <c r="B14" s="13" cm="1">
        <f t="array" ref="B14">SUMPRODUCT(1/COUNTIF(raw_data!N2:N101,raw_data!N2:N101))</f>
        <v>10.000000000000005</v>
      </c>
      <c r="C14" s="9" t="s">
        <v>337</v>
      </c>
    </row>
    <row r="15" spans="1:3" x14ac:dyDescent="0.3">
      <c r="A15" s="14"/>
      <c r="B15" s="11"/>
      <c r="C15" s="9"/>
    </row>
    <row r="16" spans="1:3" x14ac:dyDescent="0.3">
      <c r="A16" s="14" t="s">
        <v>326</v>
      </c>
      <c r="B16" s="11">
        <f>AVERAGEIF(raw_data!O2:O101, "&gt;0")</f>
        <v>5.63</v>
      </c>
      <c r="C16" s="9" t="s">
        <v>338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05FD-37BA-4C8F-8B02-CA7F3A0B41B0}">
  <dimension ref="B1:R44"/>
  <sheetViews>
    <sheetView showGridLines="0" tabSelected="1" zoomScale="63" zoomScaleNormal="96" workbookViewId="0">
      <selection activeCell="I33" sqref="I33"/>
    </sheetView>
  </sheetViews>
  <sheetFormatPr defaultRowHeight="14.4" x14ac:dyDescent="0.3"/>
  <cols>
    <col min="1" max="1" width="7.77734375" customWidth="1"/>
    <col min="2" max="2" width="26.5546875" bestFit="1" customWidth="1"/>
    <col min="3" max="3" width="16.21875" bestFit="1" customWidth="1"/>
    <col min="4" max="4" width="22.6640625" bestFit="1" customWidth="1"/>
    <col min="5" max="5" width="24.6640625" bestFit="1" customWidth="1"/>
    <col min="6" max="6" width="5.6640625" customWidth="1"/>
    <col min="7" max="7" width="21.77734375" bestFit="1" customWidth="1"/>
    <col min="8" max="8" width="22.33203125" bestFit="1" customWidth="1"/>
    <col min="9" max="9" width="16.21875" bestFit="1" customWidth="1"/>
    <col min="10" max="10" width="18.88671875" bestFit="1" customWidth="1"/>
    <col min="11" max="11" width="5.77734375" customWidth="1"/>
    <col min="12" max="12" width="21.77734375" bestFit="1" customWidth="1"/>
    <col min="13" max="13" width="18.6640625" bestFit="1" customWidth="1"/>
    <col min="14" max="14" width="10.44140625" bestFit="1" customWidth="1"/>
    <col min="15" max="15" width="13.5546875" bestFit="1" customWidth="1"/>
    <col min="16" max="16" width="16.44140625" bestFit="1" customWidth="1"/>
    <col min="17" max="17" width="20.5546875" bestFit="1" customWidth="1"/>
    <col min="18" max="18" width="15.77734375" bestFit="1" customWidth="1"/>
    <col min="19" max="19" width="7.77734375" bestFit="1" customWidth="1"/>
    <col min="20" max="20" width="9.6640625" bestFit="1" customWidth="1"/>
    <col min="21" max="21" width="11.5546875" bestFit="1" customWidth="1"/>
    <col min="22" max="22" width="11" bestFit="1" customWidth="1"/>
  </cols>
  <sheetData>
    <row r="1" spans="2:18" ht="23.4" x14ac:dyDescent="0.45">
      <c r="B1" s="28" t="s">
        <v>742</v>
      </c>
      <c r="C1" s="29"/>
      <c r="D1" s="29"/>
      <c r="E1" s="29"/>
      <c r="G1" s="28" t="s">
        <v>743</v>
      </c>
      <c r="H1" s="29"/>
      <c r="I1" s="29"/>
      <c r="J1" s="29"/>
      <c r="L1" s="28" t="s">
        <v>747</v>
      </c>
      <c r="M1" s="28"/>
      <c r="N1" s="28"/>
      <c r="O1" s="28"/>
      <c r="P1" s="28"/>
      <c r="Q1" s="28"/>
    </row>
    <row r="3" spans="2:18" x14ac:dyDescent="0.3">
      <c r="B3" s="21" t="s">
        <v>736</v>
      </c>
      <c r="C3" t="s">
        <v>713</v>
      </c>
      <c r="D3" t="s">
        <v>738</v>
      </c>
      <c r="E3" t="s">
        <v>739</v>
      </c>
      <c r="G3" s="21" t="s">
        <v>711</v>
      </c>
      <c r="H3" t="s">
        <v>740</v>
      </c>
      <c r="I3" t="s">
        <v>737</v>
      </c>
      <c r="J3" t="s">
        <v>741</v>
      </c>
      <c r="L3" s="21" t="s">
        <v>750</v>
      </c>
      <c r="M3" s="21" t="s">
        <v>749</v>
      </c>
    </row>
    <row r="4" spans="2:18" x14ac:dyDescent="0.3">
      <c r="B4" s="22" t="s">
        <v>32</v>
      </c>
      <c r="C4" s="30">
        <v>9</v>
      </c>
      <c r="D4" s="30">
        <v>2017</v>
      </c>
      <c r="E4" s="30">
        <v>44335.5</v>
      </c>
      <c r="G4" s="22" t="s">
        <v>78</v>
      </c>
      <c r="H4" s="30">
        <v>39057.5</v>
      </c>
      <c r="I4" s="30">
        <v>10</v>
      </c>
      <c r="J4" s="30">
        <v>13.7</v>
      </c>
      <c r="L4" s="21" t="s">
        <v>748</v>
      </c>
      <c r="M4" t="s">
        <v>32</v>
      </c>
      <c r="N4" t="s">
        <v>69</v>
      </c>
      <c r="O4" t="s">
        <v>50</v>
      </c>
      <c r="P4" t="s">
        <v>25</v>
      </c>
      <c r="Q4" t="s">
        <v>753</v>
      </c>
      <c r="R4" t="s">
        <v>708</v>
      </c>
    </row>
    <row r="5" spans="2:18" x14ac:dyDescent="0.3">
      <c r="B5" s="22" t="s">
        <v>69</v>
      </c>
      <c r="C5" s="30">
        <v>12</v>
      </c>
      <c r="D5" s="30">
        <v>3137</v>
      </c>
      <c r="E5" s="30">
        <v>43462.5</v>
      </c>
      <c r="G5" s="22" t="s">
        <v>29</v>
      </c>
      <c r="H5" s="30">
        <v>147526.5</v>
      </c>
      <c r="I5" s="30">
        <v>16</v>
      </c>
      <c r="J5" s="3">
        <v>28.375</v>
      </c>
      <c r="L5" s="22" t="s">
        <v>49</v>
      </c>
      <c r="M5" s="30">
        <v>1</v>
      </c>
      <c r="N5" s="30">
        <v>2</v>
      </c>
      <c r="O5" s="30">
        <v>2</v>
      </c>
      <c r="P5" s="30">
        <v>1</v>
      </c>
      <c r="Q5" s="30">
        <v>2</v>
      </c>
      <c r="R5" s="30">
        <v>8</v>
      </c>
    </row>
    <row r="6" spans="2:18" x14ac:dyDescent="0.3">
      <c r="B6" s="22" t="s">
        <v>50</v>
      </c>
      <c r="C6" s="30">
        <v>12</v>
      </c>
      <c r="D6" s="30">
        <v>449</v>
      </c>
      <c r="E6" s="30">
        <v>14048.5</v>
      </c>
      <c r="G6" s="22" t="s">
        <v>54</v>
      </c>
      <c r="H6" s="30">
        <v>11016</v>
      </c>
      <c r="I6" s="30">
        <v>2</v>
      </c>
      <c r="J6" s="30">
        <v>18</v>
      </c>
      <c r="L6" s="22" t="s">
        <v>31</v>
      </c>
      <c r="M6" s="30"/>
      <c r="N6" s="30"/>
      <c r="O6" s="30">
        <v>2</v>
      </c>
      <c r="P6" s="30"/>
      <c r="Q6" s="30">
        <v>8</v>
      </c>
      <c r="R6" s="30">
        <v>10</v>
      </c>
    </row>
    <row r="7" spans="2:18" x14ac:dyDescent="0.3">
      <c r="B7" s="22" t="s">
        <v>25</v>
      </c>
      <c r="C7" s="30">
        <v>5</v>
      </c>
      <c r="D7" s="30">
        <v>0</v>
      </c>
      <c r="E7" s="30">
        <v>0</v>
      </c>
      <c r="G7" s="22" t="s">
        <v>219</v>
      </c>
      <c r="H7" s="30">
        <v>7930</v>
      </c>
      <c r="I7" s="30">
        <v>2</v>
      </c>
      <c r="J7" s="30">
        <v>10</v>
      </c>
      <c r="L7" s="22" t="s">
        <v>44</v>
      </c>
      <c r="M7" s="30">
        <v>1</v>
      </c>
      <c r="N7" s="30">
        <v>1</v>
      </c>
      <c r="O7" s="30">
        <v>1</v>
      </c>
      <c r="P7" s="30"/>
      <c r="Q7" s="30">
        <v>8</v>
      </c>
      <c r="R7" s="30">
        <v>11</v>
      </c>
    </row>
    <row r="8" spans="2:18" x14ac:dyDescent="0.3">
      <c r="B8" s="22" t="s">
        <v>753</v>
      </c>
      <c r="C8" s="30">
        <v>62</v>
      </c>
      <c r="D8" s="30">
        <v>19379</v>
      </c>
      <c r="E8" s="30">
        <v>489362.25</v>
      </c>
      <c r="G8" s="22" t="s">
        <v>174</v>
      </c>
      <c r="H8" s="30">
        <v>10528</v>
      </c>
      <c r="I8" s="30">
        <v>4</v>
      </c>
      <c r="J8" s="30">
        <v>15.75</v>
      </c>
      <c r="L8" s="22" t="s">
        <v>38</v>
      </c>
      <c r="M8" s="30">
        <v>3</v>
      </c>
      <c r="N8" s="30">
        <v>4</v>
      </c>
      <c r="O8" s="30">
        <v>2</v>
      </c>
      <c r="P8" s="30"/>
      <c r="Q8" s="30">
        <v>11</v>
      </c>
      <c r="R8" s="30">
        <v>20</v>
      </c>
    </row>
    <row r="9" spans="2:18" x14ac:dyDescent="0.3">
      <c r="B9" s="22" t="s">
        <v>708</v>
      </c>
      <c r="C9" s="30">
        <v>100</v>
      </c>
      <c r="D9" s="30">
        <v>24982</v>
      </c>
      <c r="E9" s="30">
        <v>591208.75</v>
      </c>
      <c r="G9" s="22" t="s">
        <v>117</v>
      </c>
      <c r="H9" s="30">
        <v>127996.75</v>
      </c>
      <c r="I9" s="30">
        <v>6</v>
      </c>
      <c r="J9" s="3">
        <v>98.583333333333329</v>
      </c>
      <c r="L9" s="22" t="s">
        <v>119</v>
      </c>
      <c r="M9" s="30">
        <v>1</v>
      </c>
      <c r="N9" s="30">
        <v>1</v>
      </c>
      <c r="O9" s="30">
        <v>3</v>
      </c>
      <c r="P9" s="30">
        <v>1</v>
      </c>
      <c r="Q9" s="30">
        <v>9</v>
      </c>
      <c r="R9" s="30">
        <v>15</v>
      </c>
    </row>
    <row r="10" spans="2:18" x14ac:dyDescent="0.3">
      <c r="G10" s="22" t="s">
        <v>131</v>
      </c>
      <c r="H10" s="30">
        <v>11248</v>
      </c>
      <c r="I10" s="30">
        <v>2</v>
      </c>
      <c r="J10" s="30">
        <v>16</v>
      </c>
      <c r="L10" s="22" t="s">
        <v>23</v>
      </c>
      <c r="M10" s="30"/>
      <c r="N10" s="30">
        <v>1</v>
      </c>
      <c r="O10" s="30">
        <v>1</v>
      </c>
      <c r="P10" s="30">
        <v>1</v>
      </c>
      <c r="Q10" s="30">
        <v>4</v>
      </c>
      <c r="R10" s="30">
        <v>7</v>
      </c>
    </row>
    <row r="11" spans="2:18" x14ac:dyDescent="0.3">
      <c r="G11" s="22" t="s">
        <v>103</v>
      </c>
      <c r="H11" s="30">
        <v>22272</v>
      </c>
      <c r="I11" s="30">
        <v>4</v>
      </c>
      <c r="J11" s="30">
        <v>23.5</v>
      </c>
      <c r="L11" s="22" t="s">
        <v>80</v>
      </c>
      <c r="M11" s="30">
        <v>2</v>
      </c>
      <c r="N11" s="30">
        <v>1</v>
      </c>
      <c r="O11" s="30"/>
      <c r="P11" s="30"/>
      <c r="Q11" s="30">
        <v>6</v>
      </c>
      <c r="R11" s="30">
        <v>9</v>
      </c>
    </row>
    <row r="12" spans="2:18" x14ac:dyDescent="0.3">
      <c r="G12" s="22" t="s">
        <v>233</v>
      </c>
      <c r="H12" s="30">
        <v>1462.5</v>
      </c>
      <c r="I12" s="30">
        <v>2</v>
      </c>
      <c r="J12" s="30">
        <v>4.5</v>
      </c>
      <c r="L12" s="22" t="s">
        <v>67</v>
      </c>
      <c r="M12" s="30"/>
      <c r="N12" s="30">
        <v>1</v>
      </c>
      <c r="O12" s="30"/>
      <c r="P12" s="30"/>
      <c r="Q12" s="30">
        <v>8</v>
      </c>
      <c r="R12" s="30">
        <v>9</v>
      </c>
    </row>
    <row r="13" spans="2:18" x14ac:dyDescent="0.3">
      <c r="G13" s="22" t="s">
        <v>73</v>
      </c>
      <c r="H13" s="30">
        <v>24310</v>
      </c>
      <c r="I13" s="30">
        <v>6</v>
      </c>
      <c r="J13" s="3">
        <v>12.666666666666666</v>
      </c>
      <c r="L13" s="22" t="s">
        <v>87</v>
      </c>
      <c r="M13" s="30">
        <v>1</v>
      </c>
      <c r="N13" s="30">
        <v>1</v>
      </c>
      <c r="O13" s="30">
        <v>1</v>
      </c>
      <c r="P13" s="30">
        <v>2</v>
      </c>
      <c r="Q13" s="30">
        <v>6</v>
      </c>
      <c r="R13" s="30">
        <v>11</v>
      </c>
    </row>
    <row r="14" spans="2:18" x14ac:dyDescent="0.3">
      <c r="G14" s="22" t="s">
        <v>147</v>
      </c>
      <c r="H14" s="30">
        <v>11568</v>
      </c>
      <c r="I14" s="30">
        <v>4</v>
      </c>
      <c r="J14" s="30">
        <v>12</v>
      </c>
      <c r="L14" s="22" t="s">
        <v>708</v>
      </c>
      <c r="M14" s="30">
        <v>9</v>
      </c>
      <c r="N14" s="30">
        <v>12</v>
      </c>
      <c r="O14" s="30">
        <v>12</v>
      </c>
      <c r="P14" s="30">
        <v>5</v>
      </c>
      <c r="Q14" s="30">
        <v>62</v>
      </c>
      <c r="R14" s="30">
        <v>100</v>
      </c>
    </row>
    <row r="15" spans="2:18" x14ac:dyDescent="0.3">
      <c r="G15" s="22" t="s">
        <v>183</v>
      </c>
      <c r="H15" s="30">
        <v>2112</v>
      </c>
      <c r="I15" s="30">
        <v>2</v>
      </c>
      <c r="J15" s="30">
        <v>12</v>
      </c>
    </row>
    <row r="16" spans="2:18" ht="23.4" x14ac:dyDescent="0.45">
      <c r="G16" s="22" t="s">
        <v>167</v>
      </c>
      <c r="H16" s="30">
        <v>17280</v>
      </c>
      <c r="I16" s="30">
        <v>2</v>
      </c>
      <c r="J16" s="30">
        <v>45</v>
      </c>
      <c r="L16" s="28" t="s">
        <v>752</v>
      </c>
      <c r="M16" s="28"/>
      <c r="N16" s="28"/>
      <c r="O16" s="28"/>
      <c r="P16" s="28"/>
      <c r="Q16" s="28"/>
    </row>
    <row r="17" spans="2:18" x14ac:dyDescent="0.3">
      <c r="G17" s="22" t="s">
        <v>227</v>
      </c>
      <c r="H17" s="30">
        <v>1368</v>
      </c>
      <c r="I17" s="30">
        <v>2</v>
      </c>
      <c r="J17" s="30">
        <v>9</v>
      </c>
    </row>
    <row r="18" spans="2:18" x14ac:dyDescent="0.3">
      <c r="G18" s="22" t="s">
        <v>20</v>
      </c>
      <c r="H18" s="30">
        <v>1125</v>
      </c>
      <c r="I18" s="30">
        <v>2</v>
      </c>
      <c r="J18" s="30">
        <v>15</v>
      </c>
      <c r="L18" s="21" t="s">
        <v>751</v>
      </c>
      <c r="M18" s="21" t="s">
        <v>749</v>
      </c>
    </row>
    <row r="19" spans="2:18" x14ac:dyDescent="0.3">
      <c r="G19" s="22" t="s">
        <v>152</v>
      </c>
      <c r="H19" s="30">
        <v>36517.5</v>
      </c>
      <c r="I19" s="30">
        <v>6</v>
      </c>
      <c r="J19" s="3">
        <v>24.833333333333332</v>
      </c>
      <c r="L19" s="21" t="s">
        <v>711</v>
      </c>
      <c r="M19" t="s">
        <v>32</v>
      </c>
      <c r="N19" t="s">
        <v>69</v>
      </c>
      <c r="O19" t="s">
        <v>50</v>
      </c>
      <c r="P19" t="s">
        <v>25</v>
      </c>
      <c r="Q19" t="s">
        <v>753</v>
      </c>
      <c r="R19" t="s">
        <v>708</v>
      </c>
    </row>
    <row r="20" spans="2:18" x14ac:dyDescent="0.3">
      <c r="G20" s="22" t="s">
        <v>137</v>
      </c>
      <c r="H20" s="30">
        <v>29716</v>
      </c>
      <c r="I20" s="30">
        <v>2</v>
      </c>
      <c r="J20" s="30">
        <v>38</v>
      </c>
      <c r="L20" s="22" t="s">
        <v>78</v>
      </c>
      <c r="M20" s="30">
        <v>1</v>
      </c>
      <c r="N20" s="30">
        <v>2</v>
      </c>
      <c r="O20" s="30"/>
      <c r="P20" s="30">
        <v>1</v>
      </c>
      <c r="Q20" s="30">
        <v>6</v>
      </c>
      <c r="R20" s="30">
        <v>10</v>
      </c>
    </row>
    <row r="21" spans="2:18" x14ac:dyDescent="0.3">
      <c r="G21" s="22" t="s">
        <v>36</v>
      </c>
      <c r="H21" s="30">
        <v>2425.5</v>
      </c>
      <c r="I21" s="30">
        <v>2</v>
      </c>
      <c r="J21" s="30">
        <v>5.5</v>
      </c>
      <c r="L21" s="22" t="s">
        <v>29</v>
      </c>
      <c r="M21" s="30">
        <v>1</v>
      </c>
      <c r="N21" s="30">
        <v>1</v>
      </c>
      <c r="O21" s="30">
        <v>2</v>
      </c>
      <c r="P21" s="30">
        <v>1</v>
      </c>
      <c r="Q21" s="30">
        <v>11</v>
      </c>
      <c r="R21" s="30">
        <v>16</v>
      </c>
    </row>
    <row r="22" spans="2:18" x14ac:dyDescent="0.3">
      <c r="G22" s="22" t="s">
        <v>202</v>
      </c>
      <c r="H22" s="30">
        <v>3013.5</v>
      </c>
      <c r="I22" s="30">
        <v>2</v>
      </c>
      <c r="J22" s="30">
        <v>3.5</v>
      </c>
      <c r="L22" s="22" t="s">
        <v>54</v>
      </c>
      <c r="M22" s="30">
        <v>1</v>
      </c>
      <c r="N22" s="30">
        <v>1</v>
      </c>
      <c r="O22" s="30"/>
      <c r="P22" s="30"/>
      <c r="Q22" s="30"/>
      <c r="R22" s="30">
        <v>2</v>
      </c>
    </row>
    <row r="23" spans="2:18" x14ac:dyDescent="0.3">
      <c r="G23" s="22" t="s">
        <v>97</v>
      </c>
      <c r="H23" s="30">
        <v>8351</v>
      </c>
      <c r="I23" s="30">
        <v>4</v>
      </c>
      <c r="J23" s="30">
        <v>7.5</v>
      </c>
      <c r="L23" s="22" t="s">
        <v>219</v>
      </c>
      <c r="M23" s="30"/>
      <c r="N23" s="30"/>
      <c r="O23" s="30"/>
      <c r="P23" s="30"/>
      <c r="Q23" s="30">
        <v>2</v>
      </c>
      <c r="R23" s="30">
        <v>2</v>
      </c>
    </row>
    <row r="24" spans="2:18" x14ac:dyDescent="0.3">
      <c r="G24" s="22" t="s">
        <v>112</v>
      </c>
      <c r="H24" s="30">
        <v>52200</v>
      </c>
      <c r="I24" s="30">
        <v>4</v>
      </c>
      <c r="J24" s="30">
        <v>62.5</v>
      </c>
      <c r="L24" s="22" t="s">
        <v>174</v>
      </c>
      <c r="M24" s="30">
        <v>1</v>
      </c>
      <c r="N24" s="30"/>
      <c r="O24" s="30">
        <v>1</v>
      </c>
      <c r="P24" s="30"/>
      <c r="Q24" s="30">
        <v>2</v>
      </c>
      <c r="R24" s="30">
        <v>4</v>
      </c>
    </row>
    <row r="25" spans="2:18" x14ac:dyDescent="0.3">
      <c r="G25" s="22" t="s">
        <v>65</v>
      </c>
      <c r="H25" s="30">
        <v>1630</v>
      </c>
      <c r="I25" s="30">
        <v>2</v>
      </c>
      <c r="J25" s="30">
        <v>5</v>
      </c>
      <c r="L25" s="22" t="s">
        <v>117</v>
      </c>
      <c r="M25" s="30"/>
      <c r="N25" s="30">
        <v>1</v>
      </c>
      <c r="O25" s="30">
        <v>1</v>
      </c>
      <c r="P25" s="30">
        <v>1</v>
      </c>
      <c r="Q25" s="30">
        <v>3</v>
      </c>
      <c r="R25" s="30">
        <v>6</v>
      </c>
    </row>
    <row r="26" spans="2:18" x14ac:dyDescent="0.3">
      <c r="G26" s="22" t="s">
        <v>42</v>
      </c>
      <c r="H26" s="30">
        <v>7954.5</v>
      </c>
      <c r="I26" s="30">
        <v>4</v>
      </c>
      <c r="J26" s="30">
        <v>5.5</v>
      </c>
      <c r="L26" s="22" t="s">
        <v>131</v>
      </c>
      <c r="M26" s="30"/>
      <c r="N26" s="30"/>
      <c r="O26" s="30"/>
      <c r="P26" s="30"/>
      <c r="Q26" s="30">
        <v>2</v>
      </c>
      <c r="R26" s="30">
        <v>2</v>
      </c>
    </row>
    <row r="27" spans="2:18" x14ac:dyDescent="0.3">
      <c r="G27" s="22" t="s">
        <v>59</v>
      </c>
      <c r="H27" s="30">
        <v>12600.5</v>
      </c>
      <c r="I27" s="30">
        <v>8</v>
      </c>
      <c r="J27" s="30">
        <v>18.375</v>
      </c>
      <c r="L27" s="22" t="s">
        <v>103</v>
      </c>
      <c r="M27" s="30">
        <v>1</v>
      </c>
      <c r="N27" s="30"/>
      <c r="O27" s="30">
        <v>1</v>
      </c>
      <c r="P27" s="30"/>
      <c r="Q27" s="30">
        <v>2</v>
      </c>
      <c r="R27" s="30">
        <v>4</v>
      </c>
    </row>
    <row r="28" spans="2:18" x14ac:dyDescent="0.3">
      <c r="G28" s="22" t="s">
        <v>708</v>
      </c>
      <c r="H28" s="30">
        <v>591208.75</v>
      </c>
      <c r="I28" s="30">
        <v>100</v>
      </c>
      <c r="J28" s="30">
        <v>24.245000000000001</v>
      </c>
      <c r="L28" s="22" t="s">
        <v>233</v>
      </c>
      <c r="M28" s="30">
        <v>1</v>
      </c>
      <c r="N28" s="30"/>
      <c r="O28" s="30"/>
      <c r="P28" s="30"/>
      <c r="Q28" s="30">
        <v>1</v>
      </c>
      <c r="R28" s="30">
        <v>2</v>
      </c>
    </row>
    <row r="29" spans="2:18" x14ac:dyDescent="0.3">
      <c r="L29" s="22" t="s">
        <v>73</v>
      </c>
      <c r="M29" s="30">
        <v>1</v>
      </c>
      <c r="N29" s="30"/>
      <c r="O29" s="30"/>
      <c r="P29" s="30"/>
      <c r="Q29" s="30">
        <v>5</v>
      </c>
      <c r="R29" s="30">
        <v>6</v>
      </c>
    </row>
    <row r="30" spans="2:18" x14ac:dyDescent="0.3">
      <c r="L30" s="22" t="s">
        <v>147</v>
      </c>
      <c r="M30" s="30"/>
      <c r="N30" s="30">
        <v>1</v>
      </c>
      <c r="O30" s="30"/>
      <c r="P30" s="30"/>
      <c r="Q30" s="30">
        <v>3</v>
      </c>
      <c r="R30" s="30">
        <v>4</v>
      </c>
    </row>
    <row r="31" spans="2:18" ht="23.4" x14ac:dyDescent="0.45">
      <c r="B31" s="28" t="s">
        <v>744</v>
      </c>
      <c r="C31" s="28"/>
      <c r="D31" s="28"/>
      <c r="E31" s="28"/>
      <c r="L31" s="22" t="s">
        <v>183</v>
      </c>
      <c r="M31" s="30"/>
      <c r="N31" s="30"/>
      <c r="O31" s="30"/>
      <c r="P31" s="30"/>
      <c r="Q31" s="30">
        <v>2</v>
      </c>
      <c r="R31" s="30">
        <v>2</v>
      </c>
    </row>
    <row r="32" spans="2:18" x14ac:dyDescent="0.3">
      <c r="L32" s="22" t="s">
        <v>167</v>
      </c>
      <c r="M32" s="30">
        <v>2</v>
      </c>
      <c r="N32" s="30"/>
      <c r="O32" s="30"/>
      <c r="P32" s="30"/>
      <c r="Q32" s="30"/>
      <c r="R32" s="30">
        <v>2</v>
      </c>
    </row>
    <row r="33" spans="2:18" x14ac:dyDescent="0.3">
      <c r="B33" s="21" t="s">
        <v>746</v>
      </c>
      <c r="C33" t="s">
        <v>737</v>
      </c>
      <c r="D33" t="s">
        <v>322</v>
      </c>
      <c r="E33" t="s">
        <v>745</v>
      </c>
      <c r="L33" s="22" t="s">
        <v>227</v>
      </c>
      <c r="M33" s="30"/>
      <c r="N33" s="30"/>
      <c r="O33" s="30"/>
      <c r="P33" s="30"/>
      <c r="Q33" s="30">
        <v>2</v>
      </c>
      <c r="R33" s="30">
        <v>2</v>
      </c>
    </row>
    <row r="34" spans="2:18" x14ac:dyDescent="0.3">
      <c r="B34" s="22" t="s">
        <v>170</v>
      </c>
      <c r="C34" s="30">
        <v>7</v>
      </c>
      <c r="D34" s="30">
        <v>31376.5</v>
      </c>
      <c r="E34" s="30">
        <v>7</v>
      </c>
      <c r="L34" s="22" t="s">
        <v>20</v>
      </c>
      <c r="M34" s="30"/>
      <c r="N34" s="30">
        <v>1</v>
      </c>
      <c r="O34" s="30"/>
      <c r="P34" s="30">
        <v>1</v>
      </c>
      <c r="Q34" s="30"/>
      <c r="R34" s="30">
        <v>2</v>
      </c>
    </row>
    <row r="35" spans="2:18" x14ac:dyDescent="0.3">
      <c r="B35" s="22" t="s">
        <v>273</v>
      </c>
      <c r="C35" s="30">
        <v>9</v>
      </c>
      <c r="D35" s="30">
        <v>82759.5</v>
      </c>
      <c r="E35" s="30">
        <v>6</v>
      </c>
      <c r="L35" s="22" t="s">
        <v>152</v>
      </c>
      <c r="M35" s="30"/>
      <c r="N35" s="30">
        <v>1</v>
      </c>
      <c r="O35" s="30">
        <v>1</v>
      </c>
      <c r="P35" s="30"/>
      <c r="Q35" s="30">
        <v>4</v>
      </c>
      <c r="R35" s="30">
        <v>6</v>
      </c>
    </row>
    <row r="36" spans="2:18" x14ac:dyDescent="0.3">
      <c r="B36" s="22" t="s">
        <v>307</v>
      </c>
      <c r="C36" s="30">
        <v>11</v>
      </c>
      <c r="D36" s="30">
        <v>37507</v>
      </c>
      <c r="E36" s="30">
        <v>10</v>
      </c>
      <c r="L36" s="22" t="s">
        <v>137</v>
      </c>
      <c r="M36" s="30"/>
      <c r="N36" s="30"/>
      <c r="O36" s="30"/>
      <c r="P36" s="30"/>
      <c r="Q36" s="30">
        <v>2</v>
      </c>
      <c r="R36" s="30">
        <v>2</v>
      </c>
    </row>
    <row r="37" spans="2:18" x14ac:dyDescent="0.3">
      <c r="B37" s="22" t="s">
        <v>88</v>
      </c>
      <c r="C37" s="30">
        <v>14</v>
      </c>
      <c r="D37" s="30">
        <v>70240.5</v>
      </c>
      <c r="E37" s="30">
        <v>4</v>
      </c>
      <c r="L37" s="22" t="s">
        <v>36</v>
      </c>
      <c r="M37" s="30"/>
      <c r="N37" s="30"/>
      <c r="O37" s="30">
        <v>1</v>
      </c>
      <c r="P37" s="30"/>
      <c r="Q37" s="30">
        <v>1</v>
      </c>
      <c r="R37" s="30">
        <v>2</v>
      </c>
    </row>
    <row r="38" spans="2:18" x14ac:dyDescent="0.3">
      <c r="B38" s="22" t="s">
        <v>143</v>
      </c>
      <c r="C38" s="30">
        <v>6</v>
      </c>
      <c r="D38" s="30">
        <v>57156.5</v>
      </c>
      <c r="E38" s="30">
        <v>6</v>
      </c>
      <c r="L38" s="22" t="s">
        <v>202</v>
      </c>
      <c r="M38" s="30"/>
      <c r="N38" s="30">
        <v>1</v>
      </c>
      <c r="O38" s="30"/>
      <c r="P38" s="30"/>
      <c r="Q38" s="30">
        <v>1</v>
      </c>
      <c r="R38" s="30">
        <v>2</v>
      </c>
    </row>
    <row r="39" spans="2:18" x14ac:dyDescent="0.3">
      <c r="B39" s="22" t="s">
        <v>223</v>
      </c>
      <c r="C39" s="30">
        <v>6</v>
      </c>
      <c r="D39" s="30">
        <v>19815</v>
      </c>
      <c r="E39" s="30">
        <v>5</v>
      </c>
      <c r="L39" s="22" t="s">
        <v>97</v>
      </c>
      <c r="M39" s="30"/>
      <c r="N39" s="30">
        <v>1</v>
      </c>
      <c r="O39" s="30">
        <v>1</v>
      </c>
      <c r="P39" s="30"/>
      <c r="Q39" s="30">
        <v>2</v>
      </c>
      <c r="R39" s="30">
        <v>4</v>
      </c>
    </row>
    <row r="40" spans="2:18" x14ac:dyDescent="0.3">
      <c r="B40" s="22" t="s">
        <v>241</v>
      </c>
      <c r="C40" s="30">
        <v>16</v>
      </c>
      <c r="D40" s="30">
        <v>99716.5</v>
      </c>
      <c r="E40" s="30">
        <v>3</v>
      </c>
      <c r="L40" s="22" t="s">
        <v>112</v>
      </c>
      <c r="M40" s="30"/>
      <c r="N40" s="30">
        <v>1</v>
      </c>
      <c r="O40" s="30">
        <v>1</v>
      </c>
      <c r="P40" s="30"/>
      <c r="Q40" s="30">
        <v>2</v>
      </c>
      <c r="R40" s="30">
        <v>4</v>
      </c>
    </row>
    <row r="41" spans="2:18" x14ac:dyDescent="0.3">
      <c r="B41" s="22" t="s">
        <v>193</v>
      </c>
      <c r="C41" s="30">
        <v>11</v>
      </c>
      <c r="D41" s="30">
        <v>129708.5</v>
      </c>
      <c r="E41" s="30">
        <v>8</v>
      </c>
      <c r="L41" s="22" t="s">
        <v>65</v>
      </c>
      <c r="M41" s="30"/>
      <c r="N41" s="30"/>
      <c r="O41" s="30"/>
      <c r="P41" s="30">
        <v>1</v>
      </c>
      <c r="Q41" s="30">
        <v>1</v>
      </c>
      <c r="R41" s="30">
        <v>2</v>
      </c>
    </row>
    <row r="42" spans="2:18" x14ac:dyDescent="0.3">
      <c r="B42" s="22" t="s">
        <v>24</v>
      </c>
      <c r="C42" s="30">
        <v>12</v>
      </c>
      <c r="D42" s="30">
        <v>40739.5</v>
      </c>
      <c r="E42" s="30">
        <v>5</v>
      </c>
      <c r="L42" s="22" t="s">
        <v>42</v>
      </c>
      <c r="M42" s="30"/>
      <c r="N42" s="30">
        <v>1</v>
      </c>
      <c r="O42" s="30"/>
      <c r="P42" s="30"/>
      <c r="Q42" s="30">
        <v>3</v>
      </c>
      <c r="R42" s="30">
        <v>4</v>
      </c>
    </row>
    <row r="43" spans="2:18" x14ac:dyDescent="0.3">
      <c r="B43" s="22" t="s">
        <v>286</v>
      </c>
      <c r="C43" s="30">
        <v>8</v>
      </c>
      <c r="D43" s="30">
        <v>22189.25</v>
      </c>
      <c r="E43" s="30">
        <v>4</v>
      </c>
      <c r="L43" s="22" t="s">
        <v>59</v>
      </c>
      <c r="M43" s="30"/>
      <c r="N43" s="30"/>
      <c r="O43" s="30">
        <v>3</v>
      </c>
      <c r="P43" s="30"/>
      <c r="Q43" s="30">
        <v>5</v>
      </c>
      <c r="R43" s="30">
        <v>8</v>
      </c>
    </row>
    <row r="44" spans="2:18" x14ac:dyDescent="0.3">
      <c r="B44" s="22" t="s">
        <v>708</v>
      </c>
      <c r="C44" s="30">
        <v>100</v>
      </c>
      <c r="D44" s="30">
        <v>591208.75</v>
      </c>
      <c r="E44" s="30">
        <v>5.63</v>
      </c>
      <c r="L44" s="22" t="s">
        <v>708</v>
      </c>
      <c r="M44" s="30">
        <v>9</v>
      </c>
      <c r="N44" s="30">
        <v>12</v>
      </c>
      <c r="O44" s="30">
        <v>12</v>
      </c>
      <c r="P44" s="30">
        <v>5</v>
      </c>
      <c r="Q44" s="30">
        <v>62</v>
      </c>
      <c r="R44" s="30">
        <v>100</v>
      </c>
    </row>
  </sheetData>
  <mergeCells count="5">
    <mergeCell ref="B1:E1"/>
    <mergeCell ref="G1:J1"/>
    <mergeCell ref="B31:E31"/>
    <mergeCell ref="L1:Q1"/>
    <mergeCell ref="L16:Q16"/>
  </mergeCells>
  <conditionalFormatting sqref="L20:L43">
    <cfRule type="colorScale" priority="3">
      <colorScale>
        <cfvo type="min"/>
        <cfvo type="percentile" val="50"/>
        <cfvo type="max"/>
        <color rgb="FF63BE7B"/>
        <color rgb="FFFCFCFF"/>
        <color rgb="FFF8696B"/>
      </colorScale>
    </cfRule>
    <cfRule type="colorScale" priority="4">
      <colorScale>
        <cfvo type="min"/>
        <cfvo type="percentile" val="50"/>
        <cfvo type="max"/>
        <color rgb="FF63BE7B"/>
        <color rgb="FFFCFCFF"/>
        <color rgb="FFF8696B"/>
      </colorScale>
    </cfRule>
  </conditionalFormatting>
  <conditionalFormatting sqref="L20:L43">
    <cfRule type="colorScale" priority="2">
      <colorScale>
        <cfvo type="min"/>
        <cfvo type="percentile" val="50"/>
        <cfvo type="max"/>
        <color rgb="FF63BE7B"/>
        <color rgb="FFFCFCFF"/>
        <color rgb="FFF8696B"/>
      </colorScale>
    </cfRule>
  </conditionalFormatting>
  <conditionalFormatting sqref="L20:R43">
    <cfRule type="colorScale" priority="1">
      <colorScale>
        <cfvo type="min"/>
        <cfvo type="percentile" val="50"/>
        <cfvo type="max"/>
        <color rgb="FF63BE7B"/>
        <color rgb="FFFCFCFF"/>
        <color rgb="FFF8696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A8B92C-1525-4CDB-828F-FDA8B2A358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sales_data</vt:lpstr>
      <vt:lpstr>ABC_Analysis</vt:lpstr>
      <vt:lpstr>EOQ_calculator</vt:lpstr>
      <vt:lpstr>KPI_Summary</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NITISHA</dc:creator>
  <cp:lastModifiedBy>NITISHA</cp:lastModifiedBy>
  <dcterms:created xsi:type="dcterms:W3CDTF">2026-02-25T09:25:53Z</dcterms:created>
  <dcterms:modified xsi:type="dcterms:W3CDTF">2026-02-27T05:32:08Z</dcterms:modified>
</cp:coreProperties>
</file>